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Satish\Documents\"/>
    </mc:Choice>
  </mc:AlternateContent>
  <xr:revisionPtr revIDLastSave="0" documentId="8_{F3B498A1-62FE-4626-BD6D-90858F67E697}" xr6:coauthVersionLast="47" xr6:coauthVersionMax="47" xr10:uidLastSave="{00000000-0000-0000-0000-000000000000}"/>
  <bookViews>
    <workbookView xWindow="0" yWindow="0" windowWidth="23040" windowHeight="9192" tabRatio="913" firstSheet="19" activeTab="19" xr2:uid="{00000000-000D-0000-FFFF-FFFF00000000}"/>
  </bookViews>
  <sheets>
    <sheet name="FREQUENCY" sheetId="1" r:id="rId1"/>
    <sheet name="INDEX &amp; MATCH" sheetId="2" r:id="rId2"/>
    <sheet name="LOOKUP" sheetId="3" r:id="rId3"/>
    <sheet name="VLOOKUP" sheetId="4" r:id="rId4"/>
    <sheet name="HLOOKUP" sheetId="5" r:id="rId5"/>
    <sheet name="SUMIF" sheetId="6" r:id="rId6"/>
    <sheet name="SUMIFS" sheetId="7" r:id="rId7"/>
    <sheet name="COUNTIF" sheetId="8" r:id="rId8"/>
    <sheet name="COUNTIFS" sheetId="9" r:id="rId9"/>
    <sheet name="COUNTA &amp; COUNT BLANK" sheetId="11" r:id="rId10"/>
    <sheet name="AVERAGEIF AND AVERAGE IFS" sheetId="12" r:id="rId11"/>
    <sheet name="SUBTOTAL" sheetId="13" r:id="rId12"/>
    <sheet name="SUMPRODUCT" sheetId="14" r:id="rId13"/>
    <sheet name="IF FORMULA" sheetId="15" r:id="rId14"/>
    <sheet name="IF AND IF OR" sheetId="16" r:id="rId15"/>
    <sheet name="NESTED IF" sheetId="17" r:id="rId16"/>
    <sheet name="LEFT, MID, RIGHT, FIND " sheetId="19" r:id="rId17"/>
    <sheet name="REPEAT" sheetId="22" r:id="rId18"/>
    <sheet name="SUBSTITUTE" sheetId="21" r:id="rId19"/>
    <sheet name="PMT,IPMT,PPMT,PV,FV" sheetId="20" r:id="rId20"/>
  </sheets>
  <definedNames>
    <definedName name="LIST1">VLOOKUP!$A:$E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0" l="1"/>
  <c r="L7" i="20"/>
  <c r="G10" i="20"/>
  <c r="G9" i="20"/>
  <c r="C21" i="20"/>
  <c r="D31" i="20"/>
  <c r="C31" i="20"/>
  <c r="E22" i="20"/>
  <c r="E23" i="20"/>
  <c r="E24" i="20"/>
  <c r="E25" i="20"/>
  <c r="E26" i="20"/>
  <c r="E27" i="20"/>
  <c r="E28" i="20"/>
  <c r="E29" i="20"/>
  <c r="E30" i="20"/>
  <c r="E21" i="20"/>
  <c r="E31" i="20" s="1"/>
  <c r="D22" i="20"/>
  <c r="D23" i="20"/>
  <c r="D24" i="20"/>
  <c r="D25" i="20"/>
  <c r="D26" i="20"/>
  <c r="D27" i="20"/>
  <c r="D28" i="20"/>
  <c r="D29" i="20"/>
  <c r="D30" i="20"/>
  <c r="D21" i="20"/>
  <c r="I15" i="20"/>
  <c r="C22" i="20"/>
  <c r="C23" i="20"/>
  <c r="C24" i="20"/>
  <c r="C25" i="20"/>
  <c r="C26" i="20"/>
  <c r="C27" i="20"/>
  <c r="C28" i="20"/>
  <c r="C29" i="20"/>
  <c r="C30" i="20"/>
  <c r="I2" i="20"/>
  <c r="C7" i="20"/>
  <c r="C8" i="20"/>
  <c r="G2" i="20"/>
  <c r="B4" i="21"/>
  <c r="G4" i="21"/>
  <c r="O15" i="20"/>
  <c r="O18" i="20"/>
  <c r="O17" i="20"/>
  <c r="O19" i="20" s="1"/>
  <c r="G15" i="20" a="1"/>
  <c r="D7" i="20"/>
  <c r="D8" i="20"/>
  <c r="D9" i="20" s="1"/>
  <c r="G6" i="21"/>
  <c r="G5" i="21"/>
  <c r="G3" i="21"/>
  <c r="D6" i="21"/>
  <c r="D5" i="21"/>
  <c r="B5" i="21"/>
  <c r="C7" i="22"/>
  <c r="C6" i="22"/>
  <c r="C5" i="22"/>
  <c r="C4" i="22"/>
  <c r="C3" i="22"/>
  <c r="G2" i="19"/>
  <c r="J2" i="19"/>
  <c r="L2" i="19"/>
  <c r="K2" i="19"/>
  <c r="L3" i="19"/>
  <c r="L4" i="19"/>
  <c r="L5" i="19"/>
  <c r="L6" i="19"/>
  <c r="L7" i="19"/>
  <c r="L8" i="19"/>
  <c r="L9" i="19"/>
  <c r="L10" i="19"/>
  <c r="L11" i="19"/>
  <c r="L12" i="19"/>
  <c r="L13" i="19"/>
  <c r="K3" i="19"/>
  <c r="K4" i="19"/>
  <c r="K5" i="19"/>
  <c r="K6" i="19"/>
  <c r="K7" i="19"/>
  <c r="K8" i="19"/>
  <c r="K9" i="19"/>
  <c r="K10" i="19"/>
  <c r="K11" i="19"/>
  <c r="K12" i="19"/>
  <c r="K13" i="19"/>
  <c r="F2" i="19"/>
  <c r="D2" i="19"/>
  <c r="H2" i="14"/>
  <c r="M3" i="12"/>
  <c r="M4" i="12"/>
  <c r="M2" i="12"/>
  <c r="AW8" i="11"/>
  <c r="AW7" i="11"/>
  <c r="AW5" i="11"/>
  <c r="AW4" i="11"/>
  <c r="L3" i="9"/>
  <c r="M3" i="9"/>
  <c r="L4" i="9"/>
  <c r="M4" i="9"/>
  <c r="M2" i="9"/>
  <c r="L2" i="9"/>
  <c r="L4" i="8"/>
  <c r="L3" i="8"/>
  <c r="L2" i="8"/>
  <c r="L2" i="7"/>
  <c r="L4" i="7"/>
  <c r="M4" i="7"/>
  <c r="L3" i="7"/>
  <c r="M3" i="7"/>
  <c r="M2" i="7"/>
  <c r="J3" i="6"/>
  <c r="J2" i="6"/>
  <c r="J1" i="6"/>
  <c r="H47" i="5"/>
  <c r="I47" i="5"/>
  <c r="J47" i="5"/>
  <c r="G47" i="5"/>
  <c r="H49" i="5"/>
  <c r="I49" i="5"/>
  <c r="J49" i="5"/>
  <c r="G49" i="5"/>
  <c r="G9" i="5"/>
  <c r="G11" i="5"/>
  <c r="L2" i="4"/>
  <c r="L5" i="4"/>
  <c r="L4" i="4"/>
  <c r="L3" i="4"/>
  <c r="F4" i="4"/>
  <c r="F5" i="4"/>
  <c r="F3" i="4"/>
  <c r="F2" i="4"/>
  <c r="H2" i="4"/>
  <c r="P2" i="3"/>
  <c r="O3" i="2"/>
  <c r="O7" i="2"/>
  <c r="O6" i="2"/>
  <c r="E2" i="1" a="1"/>
  <c r="H3" i="20"/>
  <c r="H4" i="20"/>
  <c r="H5" i="20"/>
  <c r="H6" i="20"/>
  <c r="H7" i="20"/>
  <c r="H8" i="20"/>
  <c r="H9" i="20"/>
  <c r="H10" i="20"/>
  <c r="H11" i="20"/>
  <c r="H2" i="20"/>
  <c r="H12" i="20" s="1"/>
  <c r="G5" i="20"/>
  <c r="I5" i="20" s="1"/>
  <c r="G6" i="20"/>
  <c r="I6" i="20" s="1"/>
  <c r="G7" i="20"/>
  <c r="I7" i="20" s="1"/>
  <c r="G8" i="20"/>
  <c r="I8" i="20" s="1"/>
  <c r="I9" i="20"/>
  <c r="I10" i="20"/>
  <c r="G11" i="20"/>
  <c r="I11" i="20" s="1"/>
  <c r="G4" i="20"/>
  <c r="I4" i="20" s="1"/>
  <c r="G3" i="20"/>
  <c r="I3" i="20" s="1"/>
  <c r="C9" i="20"/>
  <c r="B6" i="21"/>
  <c r="F3" i="19"/>
  <c r="F4" i="19"/>
  <c r="F5" i="19"/>
  <c r="F6" i="19"/>
  <c r="F7" i="19"/>
  <c r="F8" i="19"/>
  <c r="F9" i="19"/>
  <c r="F10" i="19"/>
  <c r="F11" i="19"/>
  <c r="F12" i="19"/>
  <c r="F13" i="19"/>
  <c r="G3" i="19"/>
  <c r="G4" i="19"/>
  <c r="G5" i="19"/>
  <c r="G6" i="19"/>
  <c r="G7" i="19"/>
  <c r="G8" i="19"/>
  <c r="G9" i="19"/>
  <c r="G10" i="19"/>
  <c r="G11" i="19"/>
  <c r="G12" i="19"/>
  <c r="G13" i="19"/>
  <c r="D3" i="19"/>
  <c r="D4" i="19"/>
  <c r="D5" i="19"/>
  <c r="D6" i="19"/>
  <c r="D7" i="19"/>
  <c r="D8" i="19"/>
  <c r="D9" i="19"/>
  <c r="D10" i="19"/>
  <c r="D11" i="19"/>
  <c r="D12" i="19"/>
  <c r="D13" i="19"/>
  <c r="C3" i="19"/>
  <c r="C4" i="19"/>
  <c r="C5" i="19"/>
  <c r="C6" i="19"/>
  <c r="C7" i="19"/>
  <c r="C8" i="19"/>
  <c r="C9" i="19"/>
  <c r="C10" i="19"/>
  <c r="C11" i="19"/>
  <c r="C12" i="19"/>
  <c r="C13" i="19"/>
  <c r="C2" i="19"/>
  <c r="B3" i="19"/>
  <c r="B4" i="19"/>
  <c r="B5" i="19"/>
  <c r="B6" i="19"/>
  <c r="B7" i="19"/>
  <c r="B8" i="19"/>
  <c r="B9" i="19"/>
  <c r="B10" i="19"/>
  <c r="B11" i="19"/>
  <c r="B12" i="19"/>
  <c r="B13" i="19"/>
  <c r="B2" i="19"/>
  <c r="E3" i="17"/>
  <c r="E4" i="17"/>
  <c r="E5" i="17"/>
  <c r="E6" i="17"/>
  <c r="E7" i="17"/>
  <c r="E8" i="17"/>
  <c r="E9" i="17"/>
  <c r="E10" i="17"/>
  <c r="E11" i="17"/>
  <c r="E12" i="17"/>
  <c r="E13" i="17"/>
  <c r="E2" i="17"/>
  <c r="F3" i="16"/>
  <c r="F4" i="16"/>
  <c r="F5" i="16"/>
  <c r="F6" i="16"/>
  <c r="F7" i="16"/>
  <c r="F8" i="16"/>
  <c r="F9" i="16"/>
  <c r="F10" i="16"/>
  <c r="F11" i="16"/>
  <c r="F12" i="16"/>
  <c r="F13" i="16"/>
  <c r="F2" i="16"/>
  <c r="E2" i="16"/>
  <c r="E3" i="16"/>
  <c r="E4" i="16"/>
  <c r="E5" i="16"/>
  <c r="E6" i="16"/>
  <c r="E7" i="16"/>
  <c r="E8" i="16"/>
  <c r="E9" i="16"/>
  <c r="E10" i="16"/>
  <c r="E11" i="16"/>
  <c r="E12" i="16"/>
  <c r="E13" i="16"/>
  <c r="D2" i="15"/>
  <c r="D3" i="15"/>
  <c r="D4" i="15"/>
  <c r="D5" i="15"/>
  <c r="D6" i="15"/>
  <c r="D7" i="15"/>
  <c r="D8" i="15"/>
  <c r="D9" i="15"/>
  <c r="D10" i="15"/>
  <c r="D11" i="15"/>
  <c r="D12" i="15"/>
  <c r="D13" i="15"/>
  <c r="E3" i="14"/>
  <c r="F3" i="14"/>
  <c r="E4" i="14"/>
  <c r="F4" i="14"/>
  <c r="E5" i="14"/>
  <c r="F5" i="14"/>
  <c r="E6" i="14"/>
  <c r="F6" i="14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F2" i="14"/>
  <c r="E2" i="14"/>
  <c r="E14" i="14" s="1"/>
  <c r="F2" i="13"/>
  <c r="H4" i="12"/>
  <c r="G3" i="12"/>
  <c r="H3" i="12"/>
  <c r="G4" i="12"/>
  <c r="H2" i="12"/>
  <c r="G2" i="12"/>
  <c r="J3" i="12"/>
  <c r="J4" i="12"/>
  <c r="J2" i="12"/>
  <c r="G3" i="8"/>
  <c r="G4" i="8"/>
  <c r="G2" i="8"/>
  <c r="F2" i="6"/>
  <c r="F3" i="6"/>
  <c r="F1" i="6"/>
  <c r="X7" i="11"/>
  <c r="X6" i="11"/>
  <c r="X4" i="11"/>
  <c r="X3" i="11"/>
  <c r="G3" i="9"/>
  <c r="H3" i="9"/>
  <c r="G4" i="9"/>
  <c r="H4" i="9"/>
  <c r="H2" i="9"/>
  <c r="G2" i="9"/>
  <c r="H3" i="7"/>
  <c r="H2" i="7"/>
  <c r="H4" i="7"/>
  <c r="G3" i="7"/>
  <c r="G4" i="7"/>
  <c r="G2" i="7"/>
  <c r="F9" i="5"/>
  <c r="E9" i="5"/>
  <c r="D9" i="5"/>
  <c r="E11" i="5"/>
  <c r="F11" i="5"/>
  <c r="D11" i="5"/>
  <c r="H3" i="4"/>
  <c r="H4" i="4"/>
  <c r="H5" i="4"/>
  <c r="L2" i="3"/>
  <c r="G5" i="2"/>
  <c r="G6" i="2"/>
  <c r="H3" i="2"/>
  <c r="L5" i="1" a="1"/>
  <c r="L5" i="1" s="1"/>
  <c r="I16" i="20" l="1"/>
  <c r="I17" i="20"/>
  <c r="I18" i="20"/>
  <c r="I19" i="20"/>
  <c r="I20" i="20"/>
  <c r="I21" i="20"/>
  <c r="I22" i="20"/>
  <c r="I23" i="20"/>
  <c r="I24" i="20"/>
  <c r="H16" i="20"/>
  <c r="J16" i="20" s="1"/>
  <c r="H17" i="20"/>
  <c r="J17" i="20" s="1"/>
  <c r="H18" i="20"/>
  <c r="J18" i="20" s="1"/>
  <c r="H19" i="20"/>
  <c r="J19" i="20" s="1"/>
  <c r="H20" i="20"/>
  <c r="J20" i="20" s="1"/>
  <c r="H21" i="20"/>
  <c r="J21" i="20" s="1"/>
  <c r="H22" i="20"/>
  <c r="J22" i="20" s="1"/>
  <c r="H23" i="20"/>
  <c r="J23" i="20" s="1"/>
  <c r="H24" i="20"/>
  <c r="J24" i="20" s="1"/>
  <c r="I12" i="20"/>
  <c r="G12" i="20"/>
  <c r="L12" i="1"/>
  <c r="L10" i="1"/>
  <c r="L9" i="1"/>
  <c r="L7" i="1"/>
  <c r="L11" i="1"/>
  <c r="L8" i="1"/>
  <c r="L6" i="1"/>
  <c r="L13" i="1"/>
  <c r="B3" i="21"/>
  <c r="Q6" i="20" l="1"/>
  <c r="D16" i="20" l="1"/>
  <c r="E16" i="20" l="1"/>
  <c r="D17" i="20"/>
  <c r="E17" i="20" s="1"/>
  <c r="E2" i="1"/>
  <c r="G15" i="20"/>
  <c r="I25" i="20" l="1"/>
  <c r="H15" i="20"/>
  <c r="J15" i="20" l="1"/>
  <c r="H25" i="20"/>
  <c r="J25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<sst xmlns="http://schemas.openxmlformats.org/spreadsheetml/2006/main" count="1017" uniqueCount="244">
  <si>
    <t>Emp ID</t>
  </si>
  <si>
    <t>Emp Name</t>
  </si>
  <si>
    <t>Age</t>
  </si>
  <si>
    <t>Unique</t>
  </si>
  <si>
    <t>frequency</t>
  </si>
  <si>
    <t>Ashok Singh</t>
  </si>
  <si>
    <t>Shankar Jadhav</t>
  </si>
  <si>
    <t>Vinod Kale</t>
  </si>
  <si>
    <t>Practise</t>
  </si>
  <si>
    <t>Rajendra Verma</t>
  </si>
  <si>
    <t>Raj Singh</t>
  </si>
  <si>
    <t>Santosh Kale</t>
  </si>
  <si>
    <t>Sameer Shinde</t>
  </si>
  <si>
    <t>Vinod Singh</t>
  </si>
  <si>
    <t>Ravi Verma</t>
  </si>
  <si>
    <t>Kiran Katekar</t>
  </si>
  <si>
    <t>Ashok Singhania</t>
  </si>
  <si>
    <t>Viresh Pal</t>
  </si>
  <si>
    <t>Vinod Kelkar</t>
  </si>
  <si>
    <t>Rajendra Tasme</t>
  </si>
  <si>
    <t>Zora Shaikh</t>
  </si>
  <si>
    <t>Abdul Shaikh</t>
  </si>
  <si>
    <t>Sameer Vaje</t>
  </si>
  <si>
    <t>Vinod Pal</t>
  </si>
  <si>
    <t>Ravi Verman</t>
  </si>
  <si>
    <t>Kiran Bhor</t>
  </si>
  <si>
    <t>Batches Time Table</t>
  </si>
  <si>
    <t>INDEX &amp; MATCH</t>
  </si>
  <si>
    <t>TIME/TEACHER</t>
  </si>
  <si>
    <t>Asif Sir</t>
  </si>
  <si>
    <t>Vikrant Sir</t>
  </si>
  <si>
    <t>Rahul Sir</t>
  </si>
  <si>
    <t>Akshay Sir</t>
  </si>
  <si>
    <t>SELECT</t>
  </si>
  <si>
    <t>Tally</t>
  </si>
  <si>
    <t>Excel</t>
  </si>
  <si>
    <t>DTP</t>
  </si>
  <si>
    <t>Ms-Office</t>
  </si>
  <si>
    <t>index</t>
  </si>
  <si>
    <t>Ms-office</t>
  </si>
  <si>
    <t>row no</t>
  </si>
  <si>
    <t>col num</t>
  </si>
  <si>
    <t>match</t>
  </si>
  <si>
    <t xml:space="preserve"> use 0 for exact match</t>
  </si>
  <si>
    <t>col no</t>
  </si>
  <si>
    <t>match(lookup value, lookup range, 0)</t>
  </si>
  <si>
    <t>index(lookup range-table, matching row, matching column</t>
  </si>
  <si>
    <t>SL. NO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</si>
  <si>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</si>
  <si>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</si>
  <si>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</si>
  <si>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</si>
  <si>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</si>
  <si>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</si>
  <si>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</si>
  <si>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</si>
  <si>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LOOKUP</t>
  </si>
  <si>
    <t>SR NO</t>
  </si>
  <si>
    <t>lookup</t>
  </si>
  <si>
    <t>pay days</t>
  </si>
  <si>
    <t>AMIT MAHATA</t>
  </si>
  <si>
    <t>BIMAL HANSDA</t>
  </si>
  <si>
    <t>JHANTU MAHATA (2)</t>
  </si>
  <si>
    <t>ASHIS MAHATA</t>
  </si>
  <si>
    <t>lookup(value, value_list, desired_output col)</t>
  </si>
  <si>
    <t>BARUN RAY</t>
  </si>
  <si>
    <t>BHADU DOLAI</t>
  </si>
  <si>
    <t>BHAKTIPADA DULE</t>
  </si>
  <si>
    <t>BHOLANATH DOLAI</t>
  </si>
  <si>
    <t>CHITTARANJAN MAHATA</t>
  </si>
  <si>
    <t>CHITTRANJAN GHOSH</t>
  </si>
  <si>
    <t>DIPAK ADHIKARY</t>
  </si>
  <si>
    <t>DIPAK MAHATA</t>
  </si>
  <si>
    <t>GANGA ROY</t>
  </si>
  <si>
    <t>GOUR MAHATA</t>
  </si>
  <si>
    <t>JADUNATH KARMAKAR</t>
  </si>
  <si>
    <t>JHANTU MAHATA (1)</t>
  </si>
  <si>
    <t>JITEN MAHATO</t>
  </si>
  <si>
    <t>JITENDRA BHANDARI</t>
  </si>
  <si>
    <t>KARTICK MANDI</t>
  </si>
  <si>
    <t>KARTIK MAHATA</t>
  </si>
  <si>
    <t>Account No</t>
  </si>
  <si>
    <t>Amount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</si>
  <si>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</si>
  <si>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</si>
  <si>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</si>
  <si>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</si>
  <si>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</si>
  <si>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</si>
  <si>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</si>
  <si>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</si>
  <si>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</si>
  <si>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</si>
  <si>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</si>
  <si>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</si>
  <si>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command + ' for copy the formula from previous cell in the same column</t>
  </si>
  <si>
    <t>Employee Code</t>
  </si>
  <si>
    <t>Designation</t>
  </si>
  <si>
    <t>Salary</t>
  </si>
  <si>
    <t>MIS Executive</t>
  </si>
  <si>
    <t>TCS 1</t>
  </si>
  <si>
    <t>Consultant</t>
  </si>
  <si>
    <t>TCS 2</t>
  </si>
  <si>
    <t>Accounts Executive</t>
  </si>
  <si>
    <t>TCS 3</t>
  </si>
  <si>
    <t>TCS 4</t>
  </si>
  <si>
    <t xml:space="preserve">pass reference fixed reference use $ sign 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</si>
  <si>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</si>
  <si>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</si>
  <si>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</si>
  <si>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</si>
  <si>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</si>
  <si>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</si>
  <si>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</si>
  <si>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</si>
  <si>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</si>
  <si>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</si>
  <si>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</si>
  <si>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TOTAL</t>
  </si>
  <si>
    <t>Debit</t>
  </si>
  <si>
    <t>Credit</t>
  </si>
  <si>
    <t>Total</t>
  </si>
  <si>
    <t>Online</t>
  </si>
  <si>
    <t>make changes in formula as while stretch horizontally "online"will be same means fixed column ($col) for creteria1</t>
  </si>
  <si>
    <t>Cash</t>
  </si>
  <si>
    <t>Debit CARD</t>
  </si>
  <si>
    <t>Debit Card</t>
  </si>
  <si>
    <t>SUMIFS(output_val, criteria one range, criteria_val, criteria2 range, criteria2_val)</t>
  </si>
  <si>
    <t>COUNTING</t>
  </si>
  <si>
    <t>Counting</t>
  </si>
  <si>
    <t xml:space="preserve">Total </t>
  </si>
  <si>
    <t>SEMINAR SEAT BOOKINGS</t>
  </si>
  <si>
    <t>F</t>
  </si>
  <si>
    <t>BOOKED</t>
  </si>
  <si>
    <t>M</t>
  </si>
  <si>
    <t>PENDING</t>
  </si>
  <si>
    <t>MALE</t>
  </si>
  <si>
    <t>FEMALE</t>
  </si>
  <si>
    <t>only for =AVERAGEIF()</t>
  </si>
  <si>
    <t>instead of black we can use IFERROR(____,0)</t>
  </si>
  <si>
    <t>subtotal(num, criteria_Range)</t>
  </si>
  <si>
    <t>ITEM NAME</t>
  </si>
  <si>
    <t>QTY</t>
  </si>
  <si>
    <t>RATE</t>
  </si>
  <si>
    <t>SPMS</t>
  </si>
  <si>
    <t>DVD</t>
  </si>
  <si>
    <t>PENDRIVE</t>
  </si>
  <si>
    <t>KEYBOARD</t>
  </si>
  <si>
    <t>sumproduct will give multiplication and then addition but have same number or rows</t>
  </si>
  <si>
    <t>MOUSE</t>
  </si>
  <si>
    <t>SPEAKER</t>
  </si>
  <si>
    <t>LED</t>
  </si>
  <si>
    <t>LCD</t>
  </si>
  <si>
    <t>HDD</t>
  </si>
  <si>
    <t>CPU</t>
  </si>
  <si>
    <t>RAM</t>
  </si>
  <si>
    <t>CABINET</t>
  </si>
  <si>
    <t>EMP</t>
  </si>
  <si>
    <t>BASIC SALARY</t>
  </si>
  <si>
    <t>BONUS</t>
  </si>
  <si>
    <t>&gt;=</t>
  </si>
  <si>
    <t>DESG</t>
  </si>
  <si>
    <t>OR</t>
  </si>
  <si>
    <t>SALARY</t>
  </si>
  <si>
    <t>MANAGER</t>
  </si>
  <si>
    <t>&gt;=20000</t>
  </si>
  <si>
    <t>SUPERVISOR</t>
  </si>
  <si>
    <t>PEON</t>
  </si>
  <si>
    <t>CLERK</t>
  </si>
  <si>
    <t>CITY AND PINCODE</t>
  </si>
  <si>
    <t>LEFT</t>
  </si>
  <si>
    <t>RIGHT</t>
  </si>
  <si>
    <t>MID</t>
  </si>
  <si>
    <t>Mumbai -400086</t>
  </si>
  <si>
    <t>Mumbai -400087</t>
  </si>
  <si>
    <t>Delhi -400087</t>
  </si>
  <si>
    <t>Mumbai -400088</t>
  </si>
  <si>
    <t>Pune -400088</t>
  </si>
  <si>
    <t>Mumbai -400089</t>
  </si>
  <si>
    <t>Chennai -400089</t>
  </si>
  <si>
    <t>Mumbai -400090</t>
  </si>
  <si>
    <t>Alhabad -400090</t>
  </si>
  <si>
    <t>Mumbai -400091</t>
  </si>
  <si>
    <t>Surat -400091</t>
  </si>
  <si>
    <t>Mumbai -400092</t>
  </si>
  <si>
    <t>Ahmedabad -400092</t>
  </si>
  <si>
    <t>Mumbai -400093</t>
  </si>
  <si>
    <t>Punji -400093</t>
  </si>
  <si>
    <t>Mumbai -400094</t>
  </si>
  <si>
    <t>Bhopal -400094</t>
  </si>
  <si>
    <t>Mumbai -400095</t>
  </si>
  <si>
    <t>Ranchi -400095</t>
  </si>
  <si>
    <t>Mumbai -400096</t>
  </si>
  <si>
    <t>Amrutsar -400096</t>
  </si>
  <si>
    <t>Mumbai -400097</t>
  </si>
  <si>
    <t>Kolkatta -400097</t>
  </si>
  <si>
    <t xml:space="preserve">finding number of character before " " </t>
  </si>
  <si>
    <t xml:space="preserve">रिपीट फंक्शन का प्रैक्टिकल यूज़ सीखो </t>
  </si>
  <si>
    <t>Software</t>
  </si>
  <si>
    <t>Ratings</t>
  </si>
  <si>
    <t>Star</t>
  </si>
  <si>
    <t>Photoshop</t>
  </si>
  <si>
    <t>Word</t>
  </si>
  <si>
    <t>PowerPoint</t>
  </si>
  <si>
    <t>REPT("symbol", number of times)</t>
  </si>
  <si>
    <t xml:space="preserve">सबस्टीट्यूट  फंक्शन का प्रैक्टिकल यूज़ सीखो </t>
  </si>
  <si>
    <t>MOB NO / DATA</t>
  </si>
  <si>
    <t>AFTER SUBSTITUTE</t>
  </si>
  <si>
    <t>9812-34-56-78</t>
  </si>
  <si>
    <t>MUMBAI, 400086</t>
  </si>
  <si>
    <t>9812-12-12-12</t>
  </si>
  <si>
    <t>DELHI,400001</t>
  </si>
  <si>
    <t>PMT</t>
  </si>
  <si>
    <t>PAYMENT TERMS</t>
  </si>
  <si>
    <t>MONTHS</t>
  </si>
  <si>
    <t>IPMT</t>
  </si>
  <si>
    <t>PPMT</t>
  </si>
  <si>
    <t>EMI</t>
  </si>
  <si>
    <t>PV</t>
  </si>
  <si>
    <t>FV</t>
  </si>
  <si>
    <t>GENERAL NAMES</t>
  </si>
  <si>
    <t>FORMULA ARGUMENTS</t>
  </si>
  <si>
    <t>LOAN AMOUNT</t>
  </si>
  <si>
    <t>PER ANNM</t>
  </si>
  <si>
    <t>INTEREST RATE</t>
  </si>
  <si>
    <t>%AGE</t>
  </si>
  <si>
    <t>RUPEES</t>
  </si>
  <si>
    <t>P.V</t>
  </si>
  <si>
    <t>DURATION</t>
  </si>
  <si>
    <t>"N" NUMBER OF PERIOD</t>
  </si>
  <si>
    <t>PERIOD</t>
  </si>
  <si>
    <t>FUTURE VALUE</t>
  </si>
  <si>
    <t>AFTER 60 M</t>
  </si>
  <si>
    <t>TOTAL PAID</t>
  </si>
  <si>
    <t>INTEREST</t>
  </si>
  <si>
    <t xml:space="preserve"> pass 5th parameter as ,,1 so that we can reduce the current paid amount from total</t>
  </si>
  <si>
    <t>pass 5th parameter as ,,1 so that we can reduce the current paid amount from total</t>
  </si>
  <si>
    <t>MANNUAL CALCULATION</t>
  </si>
  <si>
    <t>Future Value (FV)</t>
  </si>
  <si>
    <t>INVESTMENT</t>
  </si>
  <si>
    <t>Net profit</t>
  </si>
  <si>
    <t>Months</t>
  </si>
  <si>
    <t>IPMT -&gt; interest in payment amount</t>
  </si>
  <si>
    <t>PPMT -&gt; principal in payment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</si>
</sst>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3" formatCode="_(* #,##0.00_);_(* \(#,##0.00\);_(* &quot;-&quot;??_);_(@_)"/>
    <numFmt numFmtId="164" formatCode="_ * #,##0.00_ ;_ * \-#,##0.00_ ;_ * &quot;-&quot;??_ ;_ @_ "/>
    <numFmt numFmtId="165" formatCode="[$-F400]h\.mm\.ss\ AM/PM"/>
    <numFmt numFmtId="166" formatCode="_(* #,##0_);_(* \(#,##0\);_(* &quot;-&quot;??_);_(@_)"/>
    <numFmt numFmtId="167" formatCode="&quot;Rs.&quot;\ #,##0.00"/>
    <numFmt numFmtId="168" formatCode="&quot;Rs.&quot;\ #,##0.00;[Red]&quot;Rs.&quot;\ \-#,##0.00"/>
    <numFmt numFmtId="169" formatCode="[$-F400]h:mm:ss\ AM/PM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Impact"/>
      <family val="2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1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FF0000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2" borderId="1" xfId="0" applyFill="1" applyBorder="1"/>
    <xf numFmtId="18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/>
    </xf>
    <xf numFmtId="166" fontId="5" fillId="5" borderId="1" xfId="3" applyNumberFormat="1" applyFont="1" applyFill="1" applyBorder="1" applyAlignment="1">
      <alignment horizontal="center" vertical="center"/>
    </xf>
    <xf numFmtId="1" fontId="1" fillId="0" borderId="1" xfId="2" applyNumberFormat="1" applyBorder="1" applyAlignment="1">
      <alignment horizontal="center"/>
    </xf>
    <xf numFmtId="166" fontId="0" fillId="0" borderId="1" xfId="3" applyNumberFormat="1" applyFont="1" applyBorder="1"/>
    <xf numFmtId="0" fontId="1" fillId="0" borderId="1" xfId="2" applyBorder="1"/>
    <xf numFmtId="0" fontId="1" fillId="0" borderId="0" xfId="2"/>
    <xf numFmtId="0" fontId="5" fillId="5" borderId="1" xfId="2" applyFont="1" applyFill="1" applyBorder="1" applyAlignment="1">
      <alignment horizontal="left" vertical="center"/>
    </xf>
    <xf numFmtId="164" fontId="8" fillId="0" borderId="1" xfId="1" applyFont="1" applyBorder="1"/>
    <xf numFmtId="0" fontId="7" fillId="3" borderId="1" xfId="0" applyFont="1" applyFill="1" applyBorder="1"/>
    <xf numFmtId="164" fontId="7" fillId="3" borderId="1" xfId="1" applyFont="1" applyFill="1" applyBorder="1"/>
    <xf numFmtId="14" fontId="0" fillId="0" borderId="1" xfId="0" applyNumberFormat="1" applyBorder="1"/>
    <xf numFmtId="0" fontId="0" fillId="6" borderId="1" xfId="0" applyFill="1" applyBorder="1"/>
    <xf numFmtId="0" fontId="9" fillId="6" borderId="2" xfId="0" applyFont="1" applyFill="1" applyBorder="1"/>
    <xf numFmtId="0" fontId="0" fillId="0" borderId="4" xfId="0" applyBorder="1"/>
    <xf numFmtId="2" fontId="0" fillId="0" borderId="0" xfId="0" applyNumberFormat="1"/>
    <xf numFmtId="2" fontId="0" fillId="0" borderId="1" xfId="0" applyNumberFormat="1" applyBorder="1"/>
    <xf numFmtId="168" fontId="0" fillId="0" borderId="0" xfId="0" applyNumberFormat="1"/>
    <xf numFmtId="168" fontId="0" fillId="0" borderId="1" xfId="0" applyNumberFormat="1" applyBorder="1"/>
    <xf numFmtId="9" fontId="0" fillId="0" borderId="1" xfId="0" applyNumberFormat="1" applyBorder="1"/>
    <xf numFmtId="0" fontId="0" fillId="0" borderId="8" xfId="0" applyBorder="1"/>
    <xf numFmtId="0" fontId="9" fillId="0" borderId="0" xfId="0" applyFont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9" xfId="0" applyBorder="1"/>
    <xf numFmtId="2" fontId="9" fillId="0" borderId="1" xfId="0" applyNumberFormat="1" applyFont="1" applyBorder="1"/>
    <xf numFmtId="0" fontId="9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" fillId="7" borderId="1" xfId="0" applyFont="1" applyFill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0" xfId="0" applyFill="1" applyBorder="1"/>
    <xf numFmtId="0" fontId="0" fillId="0" borderId="10" xfId="0" applyBorder="1"/>
    <xf numFmtId="0" fontId="0" fillId="6" borderId="10" xfId="0" applyFill="1" applyBorder="1"/>
    <xf numFmtId="0" fontId="0" fillId="6" borderId="0" xfId="0" applyFill="1"/>
    <xf numFmtId="0" fontId="0" fillId="6" borderId="2" xfId="0" applyFill="1" applyBorder="1"/>
    <xf numFmtId="169" fontId="0" fillId="0" borderId="0" xfId="0" applyNumberFormat="1"/>
    <xf numFmtId="1" fontId="0" fillId="0" borderId="0" xfId="0" applyNumberFormat="1"/>
    <xf numFmtId="0" fontId="0" fillId="10" borderId="0" xfId="0" applyFill="1"/>
    <xf numFmtId="0" fontId="15" fillId="11" borderId="0" xfId="0" applyFont="1" applyFill="1"/>
    <xf numFmtId="0" fontId="16" fillId="12" borderId="0" xfId="0" applyFont="1" applyFill="1"/>
    <xf numFmtId="0" fontId="0" fillId="13" borderId="0" xfId="0" applyFill="1"/>
    <xf numFmtId="0" fontId="0" fillId="14" borderId="0" xfId="0" applyFill="1"/>
    <xf numFmtId="8" fontId="0" fillId="0" borderId="0" xfId="0" applyNumberFormat="1"/>
    <xf numFmtId="0" fontId="0" fillId="15" borderId="0" xfId="0" applyFill="1"/>
    <xf numFmtId="167" fontId="0" fillId="15" borderId="0" xfId="0" applyNumberFormat="1" applyFill="1"/>
    <xf numFmtId="8" fontId="0" fillId="15" borderId="0" xfId="0" applyNumberFormat="1" applyFill="1"/>
    <xf numFmtId="9" fontId="0" fillId="0" borderId="0" xfId="0" applyNumberFormat="1"/>
    <xf numFmtId="0" fontId="9" fillId="16" borderId="0" xfId="0" applyFont="1" applyFill="1" applyAlignment="1">
      <alignment horizontal="center"/>
    </xf>
    <xf numFmtId="0" fontId="17" fillId="0" borderId="1" xfId="0" applyFont="1" applyBorder="1"/>
    <xf numFmtId="0" fontId="10" fillId="3" borderId="0" xfId="0" applyFont="1" applyFill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1051891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1794841" y="689942"/>
          <a:ext cx="5318678" cy="1786144"/>
          <a:chOff x="1794184" y="723444"/>
          <a:chExt cx="5151498" cy="1911283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zoomScale="200" zoomScaleNormal="200" workbookViewId="0">
      <selection activeCell="E2" sqref="E2:E11"/>
    </sheetView>
  </sheetViews>
  <sheetFormatPr defaultRowHeight="14.45"/>
  <cols>
    <col min="1" max="1" width="8.85546875"/>
    <col min="2" max="2" width="15.85546875" customWidth="1"/>
    <col min="3" max="5" width="10.42578125" customWidth="1"/>
  </cols>
  <sheetData>
    <row r="1" spans="1:13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</row>
    <row r="2" spans="1:13">
      <c r="A2" s="1">
        <v>1</v>
      </c>
      <c r="B2" s="1" t="s">
        <v>5</v>
      </c>
      <c r="C2" s="1">
        <v>29</v>
      </c>
      <c r="D2" s="1">
        <v>29</v>
      </c>
      <c r="E2" cm="1">
        <f t="array" ref="E2:E11">FREQUENCY(C2:C21,D2:D10)</f>
        <v>3</v>
      </c>
    </row>
    <row r="3" spans="1:13">
      <c r="A3" s="1">
        <v>2</v>
      </c>
      <c r="B3" s="1" t="s">
        <v>6</v>
      </c>
      <c r="C3" s="1">
        <v>20</v>
      </c>
      <c r="D3" s="1">
        <v>20</v>
      </c>
      <c r="E3">
        <v>4</v>
      </c>
    </row>
    <row r="4" spans="1:13">
      <c r="A4" s="1">
        <v>3</v>
      </c>
      <c r="B4" s="1" t="s">
        <v>7</v>
      </c>
      <c r="C4" s="1">
        <v>33</v>
      </c>
      <c r="D4" s="1">
        <v>33</v>
      </c>
      <c r="E4">
        <v>2</v>
      </c>
      <c r="K4" s="2" t="s">
        <v>3</v>
      </c>
      <c r="L4" s="45" t="s">
        <v>4</v>
      </c>
      <c r="M4" t="s">
        <v>8</v>
      </c>
    </row>
    <row r="5" spans="1:13">
      <c r="A5" s="1">
        <v>4</v>
      </c>
      <c r="B5" s="1" t="s">
        <v>9</v>
      </c>
      <c r="C5" s="1">
        <v>20</v>
      </c>
      <c r="D5" s="1">
        <v>21</v>
      </c>
      <c r="E5">
        <v>2</v>
      </c>
      <c r="K5" s="1">
        <v>29</v>
      </c>
      <c r="L5">
        <f t="array" ref="L5:L13">FREQUENCY(C2:C21,K5:K13)</f>
        <v>3</v>
      </c>
    </row>
    <row r="6" spans="1:13">
      <c r="A6" s="1">
        <v>5</v>
      </c>
      <c r="B6" s="1" t="s">
        <v>10</v>
      </c>
      <c r="C6" s="1">
        <v>29</v>
      </c>
      <c r="D6" s="1">
        <v>34</v>
      </c>
      <c r="E6">
        <v>1</v>
      </c>
      <c r="K6" s="1">
        <v>20</v>
      </c>
      <c r="L6">
        <v>4</v>
      </c>
    </row>
    <row r="7" spans="1:13">
      <c r="A7" s="1">
        <v>6</v>
      </c>
      <c r="B7" s="1" t="s">
        <v>11</v>
      </c>
      <c r="C7" s="1">
        <v>33</v>
      </c>
      <c r="D7" s="1">
        <v>28</v>
      </c>
      <c r="E7">
        <v>2</v>
      </c>
      <c r="K7" s="1">
        <v>33</v>
      </c>
      <c r="L7">
        <v>2</v>
      </c>
    </row>
    <row r="8" spans="1:13">
      <c r="A8" s="1">
        <v>7</v>
      </c>
      <c r="B8" s="1" t="s">
        <v>12</v>
      </c>
      <c r="C8" s="1">
        <v>21</v>
      </c>
      <c r="D8" s="1">
        <v>27</v>
      </c>
      <c r="E8">
        <v>3</v>
      </c>
      <c r="K8" s="1">
        <v>21</v>
      </c>
      <c r="L8">
        <v>2</v>
      </c>
    </row>
    <row r="9" spans="1:13">
      <c r="A9" s="1">
        <v>8</v>
      </c>
      <c r="B9" s="1" t="s">
        <v>13</v>
      </c>
      <c r="C9" s="1">
        <v>29</v>
      </c>
      <c r="D9" s="1">
        <v>22</v>
      </c>
      <c r="E9">
        <v>1</v>
      </c>
      <c r="K9" s="1">
        <v>34</v>
      </c>
      <c r="L9">
        <v>1</v>
      </c>
    </row>
    <row r="10" spans="1:13">
      <c r="A10" s="1">
        <v>9</v>
      </c>
      <c r="B10" s="1" t="s">
        <v>14</v>
      </c>
      <c r="C10" s="1">
        <v>34</v>
      </c>
      <c r="D10" s="1">
        <v>23</v>
      </c>
      <c r="E10">
        <v>2</v>
      </c>
      <c r="K10" s="1">
        <v>28</v>
      </c>
      <c r="L10">
        <v>2</v>
      </c>
    </row>
    <row r="11" spans="1:13">
      <c r="A11" s="1">
        <v>10</v>
      </c>
      <c r="B11" s="1" t="s">
        <v>15</v>
      </c>
      <c r="C11" s="1">
        <v>28</v>
      </c>
      <c r="E11">
        <v>0</v>
      </c>
      <c r="K11" s="1">
        <v>27</v>
      </c>
      <c r="L11">
        <v>3</v>
      </c>
    </row>
    <row r="12" spans="1:13">
      <c r="A12" s="1">
        <v>11</v>
      </c>
      <c r="B12" s="1" t="s">
        <v>16</v>
      </c>
      <c r="C12" s="1">
        <v>20</v>
      </c>
      <c r="K12" s="1">
        <v>22</v>
      </c>
      <c r="L12">
        <v>1</v>
      </c>
    </row>
    <row r="13" spans="1:13">
      <c r="A13" s="1">
        <v>12</v>
      </c>
      <c r="B13" s="1" t="s">
        <v>17</v>
      </c>
      <c r="C13" s="1">
        <v>27</v>
      </c>
      <c r="K13" s="1">
        <v>23</v>
      </c>
      <c r="L13">
        <v>2</v>
      </c>
    </row>
    <row r="14" spans="1:13">
      <c r="A14" s="1">
        <v>13</v>
      </c>
      <c r="B14" s="1" t="s">
        <v>18</v>
      </c>
      <c r="C14" s="1">
        <v>21</v>
      </c>
    </row>
    <row r="15" spans="1:13">
      <c r="A15" s="1">
        <v>14</v>
      </c>
      <c r="B15" s="1" t="s">
        <v>19</v>
      </c>
      <c r="C15" s="1">
        <v>28</v>
      </c>
    </row>
    <row r="16" spans="1:13">
      <c r="A16" s="1">
        <v>15</v>
      </c>
      <c r="B16" s="1" t="s">
        <v>20</v>
      </c>
      <c r="C16" s="1">
        <v>27</v>
      </c>
    </row>
    <row r="17" spans="1:3">
      <c r="A17" s="1">
        <v>16</v>
      </c>
      <c r="B17" s="1" t="s">
        <v>21</v>
      </c>
      <c r="C17" s="1">
        <v>20</v>
      </c>
    </row>
    <row r="18" spans="1:3">
      <c r="A18" s="1">
        <v>17</v>
      </c>
      <c r="B18" s="1" t="s">
        <v>22</v>
      </c>
      <c r="C18" s="1">
        <v>22</v>
      </c>
    </row>
    <row r="19" spans="1:3">
      <c r="A19" s="1">
        <v>18</v>
      </c>
      <c r="B19" s="1" t="s">
        <v>23</v>
      </c>
      <c r="C19" s="1">
        <v>23</v>
      </c>
    </row>
    <row r="20" spans="1:3">
      <c r="A20" s="1">
        <v>19</v>
      </c>
      <c r="B20" s="1" t="s">
        <v>24</v>
      </c>
      <c r="C20" s="1">
        <v>27</v>
      </c>
    </row>
    <row r="21" spans="1:3">
      <c r="A21" s="1">
        <v>20</v>
      </c>
      <c r="B21" s="1" t="s">
        <v>25</v>
      </c>
      <c r="C21" s="1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zoomScale="200" zoomScaleNormal="200" workbookViewId="0">
      <selection activeCell="P15" sqref="P15"/>
    </sheetView>
  </sheetViews>
  <sheetFormatPr defaultColWidth="9.140625" defaultRowHeight="14.45"/>
  <cols>
    <col min="1" max="1" width="14.5703125" customWidth="1"/>
    <col min="3" max="3" width="11.28515625" customWidth="1"/>
    <col min="4" max="4" width="9.85546875" customWidth="1"/>
    <col min="5" max="5" width="10.28515625" customWidth="1"/>
    <col min="7" max="7" width="11.85546875" customWidth="1"/>
    <col min="8" max="8" width="10.85546875" customWidth="1"/>
    <col min="10" max="10" width="12.5703125" bestFit="1" customWidth="1"/>
    <col min="11" max="11" width="9.140625" bestFit="1" customWidth="1"/>
    <col min="14" max="14" width="11.28515625" bestFit="1" customWidth="1"/>
  </cols>
  <sheetData>
    <row r="1" spans="1:16">
      <c r="A1" s="71" t="s">
        <v>26</v>
      </c>
      <c r="B1" s="71"/>
      <c r="C1" s="71"/>
      <c r="D1" s="71"/>
      <c r="E1" s="71"/>
      <c r="G1" s="70" t="s">
        <v>27</v>
      </c>
      <c r="H1" s="70"/>
    </row>
    <row r="2" spans="1:16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G2" s="2" t="s">
        <v>33</v>
      </c>
      <c r="H2" s="1" t="s">
        <v>29</v>
      </c>
      <c r="N2" s="52" t="s">
        <v>33</v>
      </c>
      <c r="O2" s="52" t="s">
        <v>29</v>
      </c>
    </row>
    <row r="3" spans="1:16" ht="15">
      <c r="A3" s="3">
        <v>0.29166666666666669</v>
      </c>
      <c r="B3" s="1" t="s">
        <v>34</v>
      </c>
      <c r="C3" s="1" t="s">
        <v>35</v>
      </c>
      <c r="D3" s="1" t="s">
        <v>36</v>
      </c>
      <c r="E3" s="1" t="s">
        <v>37</v>
      </c>
      <c r="G3" s="4">
        <v>0.33333333333333298</v>
      </c>
      <c r="H3" s="1" t="str">
        <f>INDEX(A2:E9,MATCH(G3,A2:A9,0),MATCH(H2,A2:E2,0))</f>
        <v>Excel</v>
      </c>
      <c r="M3" t="s">
        <v>38</v>
      </c>
      <c r="N3" s="50">
        <v>0.54166666666666696</v>
      </c>
      <c r="O3" t="str">
        <f>INDEX(A2:E9, MATCH(N3,A2:A9, 0),MATCH(O2,A2:E2,0))</f>
        <v>Ms-Office</v>
      </c>
    </row>
    <row r="4" spans="1:16" ht="15">
      <c r="A4" s="3">
        <v>0.33333333333333298</v>
      </c>
      <c r="B4" s="1" t="s">
        <v>35</v>
      </c>
      <c r="C4" s="1" t="s">
        <v>39</v>
      </c>
      <c r="D4" s="1" t="s">
        <v>35</v>
      </c>
      <c r="E4" s="1" t="s">
        <v>36</v>
      </c>
    </row>
    <row r="5" spans="1:16" ht="15">
      <c r="A5" s="3">
        <v>0.375</v>
      </c>
      <c r="B5" s="1" t="s">
        <v>37</v>
      </c>
      <c r="C5" s="1" t="s">
        <v>36</v>
      </c>
      <c r="D5" s="1" t="s">
        <v>36</v>
      </c>
      <c r="E5" s="1" t="s">
        <v>35</v>
      </c>
      <c r="F5" s="46" t="s">
        <v>40</v>
      </c>
      <c r="G5">
        <f>MATCH(G3,A2:A9,0)</f>
        <v>3</v>
      </c>
    </row>
    <row r="6" spans="1:16" ht="15">
      <c r="A6" s="3">
        <v>0.41666666666666702</v>
      </c>
      <c r="B6" s="1" t="s">
        <v>36</v>
      </c>
      <c r="C6" s="1" t="s">
        <v>34</v>
      </c>
      <c r="D6" s="1" t="s">
        <v>37</v>
      </c>
      <c r="E6" s="1" t="s">
        <v>34</v>
      </c>
      <c r="F6" s="46" t="s">
        <v>41</v>
      </c>
      <c r="G6">
        <f>MATCH(H2,A2:E2,0)</f>
        <v>2</v>
      </c>
      <c r="M6" t="s">
        <v>42</v>
      </c>
      <c r="N6" t="s">
        <v>40</v>
      </c>
      <c r="O6" s="51">
        <f>MATCH(N3, A2:A9, 0)</f>
        <v>8</v>
      </c>
      <c r="P6" t="s">
        <v>43</v>
      </c>
    </row>
    <row r="7" spans="1:16" ht="15">
      <c r="A7" s="3">
        <v>0.45833333333333298</v>
      </c>
      <c r="B7" s="1" t="s">
        <v>34</v>
      </c>
      <c r="C7" s="1" t="s">
        <v>35</v>
      </c>
      <c r="D7" s="1" t="s">
        <v>34</v>
      </c>
      <c r="E7" s="1" t="s">
        <v>35</v>
      </c>
      <c r="N7" t="s">
        <v>44</v>
      </c>
      <c r="O7">
        <f>MATCH(O2,A2:E2, 0)</f>
        <v>2</v>
      </c>
    </row>
    <row r="8" spans="1:16" ht="15">
      <c r="A8" s="3">
        <v>0.5</v>
      </c>
      <c r="B8" s="1" t="s">
        <v>35</v>
      </c>
      <c r="C8" s="1" t="s">
        <v>36</v>
      </c>
      <c r="D8" s="1" t="s">
        <v>35</v>
      </c>
      <c r="E8" s="1" t="s">
        <v>34</v>
      </c>
      <c r="N8" t="s">
        <v>45</v>
      </c>
    </row>
    <row r="9" spans="1:16">
      <c r="A9" s="3">
        <v>0.54166666666666696</v>
      </c>
      <c r="B9" s="1" t="s">
        <v>37</v>
      </c>
      <c r="C9" s="1" t="s">
        <v>39</v>
      </c>
      <c r="D9" s="1" t="s">
        <v>36</v>
      </c>
      <c r="E9" s="1" t="s">
        <v>35</v>
      </c>
      <c r="N9" t="s">
        <v>46</v>
      </c>
    </row>
  </sheetData>
  <mergeCells count="2">
    <mergeCell ref="G1:H1"/>
    <mergeCell ref="A1:E1"/>
  </mergeCells>
  <dataValidations count="4">
    <dataValidation type="list" allowBlank="1" showInputMessage="1" showErrorMessage="1" sqref="G3" xr:uid="{00000000-0002-0000-0100-000000000000}">
      <formula1>$A$3:$A$9</formula1>
    </dataValidation>
    <dataValidation type="list" allowBlank="1" showInputMessage="1" showErrorMessage="1" sqref="H2 O2" xr:uid="{00000000-0002-0000-0100-000001000000}">
      <formula1>$B$2:$E$2</formula1>
    </dataValidation>
    <dataValidation type="list" operator="equal" allowBlank="1" showInputMessage="1" showErrorMessage="1" sqref="N3" xr:uid="{51D0A2F3-5140-438B-9325-0017419D70E5}">
      <formula1>$A$3:$A$9</formula1>
    </dataValidation>
    <dataValidation type="time" operator="equal" allowBlank="1" showInputMessage="1" showErrorMessage="1" sqref="A3:A9" xr:uid="{F124421D-1864-4D54-AAAE-A9717B73AC05}">
      <formula1>$A$3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zoomScale="150" zoomScaleNormal="150" workbookViewId="0">
      <selection activeCell="P4" sqref="P4"/>
    </sheetView>
  </sheetViews>
  <sheetFormatPr defaultRowHeight="14.45"/>
  <cols>
    <col min="1" max="1" width="7.85546875" bestFit="1" customWidth="1"/>
    <col min="2" max="2" width="27.7109375" bestFit="1" customWidth="1"/>
    <col min="3" max="3" width="11.28515625" style="9" bestFit="1" customWidth="1"/>
    <col min="4" max="4" width="9.7109375" style="7" bestFit="1" customWidth="1"/>
    <col min="5" max="5" width="15.7109375" style="9" bestFit="1" customWidth="1"/>
    <col min="6" max="6" width="12.5703125" style="9" bestFit="1" customWidth="1"/>
    <col min="7" max="7" width="5.42578125" style="9" customWidth="1"/>
    <col min="8" max="8" width="4.7109375" style="9" customWidth="1"/>
    <col min="9" max="9" width="9.85546875" style="9" bestFit="1" customWidth="1"/>
    <col min="11" max="11" width="17.7109375" bestFit="1" customWidth="1"/>
    <col min="12" max="12" width="11.5703125" customWidth="1"/>
    <col min="15" max="15" width="19.7109375" bestFit="1" customWidth="1"/>
  </cols>
  <sheetData>
    <row r="1" spans="1:16" ht="18.75">
      <c r="A1" s="10" t="s">
        <v>47</v>
      </c>
      <c r="B1" s="10" t="s">
        <v>48</v>
      </c>
      <c r="C1" s="10" t="s">
        <v>49</v>
      </c>
      <c r="D1" s="11" t="s">
        <v>50</v>
      </c>
      <c r="E1" s="10" t="s">
        <v>51</v>
      </c>
      <c r="F1" s="10" t="s">
        <v>52</v>
      </c>
      <c r="G1" s="10" t="s">
        <v>53</v>
      </c>
      <c r="H1" s="10" t="s">
        <v>54</v>
      </c>
      <c r="I1" s="10" t="s">
        <v>55</v>
      </c>
      <c r="K1" s="12" t="s">
        <v>56</v>
      </c>
      <c r="L1" s="10" t="s">
        <v>57</v>
      </c>
      <c r="O1" s="53" t="s">
        <v>58</v>
      </c>
      <c r="P1" s="53" t="s">
        <v>59</v>
      </c>
    </row>
    <row r="2" spans="1:16" ht="18.75">
      <c r="A2" s="5">
        <v>1</v>
      </c>
      <c r="B2" s="5" t="s">
        <v>60</v>
      </c>
      <c r="C2" s="8">
        <v>26</v>
      </c>
      <c r="D2" s="6">
        <v>2370</v>
      </c>
      <c r="E2" s="8">
        <v>2290</v>
      </c>
      <c r="F2" s="8">
        <v>7150</v>
      </c>
      <c r="G2" s="8">
        <v>559</v>
      </c>
      <c r="H2" s="8">
        <v>72</v>
      </c>
      <c r="I2" s="8">
        <v>6519</v>
      </c>
      <c r="K2" s="5" t="s">
        <v>61</v>
      </c>
      <c r="L2">
        <f>LOOKUP(K2,B1:B21,A1:A21)</f>
        <v>7</v>
      </c>
      <c r="O2" t="s">
        <v>62</v>
      </c>
      <c r="P2">
        <f>LOOKUP(O2,B1:B21, C1:C21)</f>
        <v>17</v>
      </c>
    </row>
    <row r="3" spans="1:16" ht="18">
      <c r="A3" s="5">
        <v>2</v>
      </c>
      <c r="B3" s="5" t="s">
        <v>63</v>
      </c>
      <c r="C3" s="8">
        <v>15</v>
      </c>
      <c r="D3" s="6">
        <v>1315.3846153846155</v>
      </c>
      <c r="E3" s="8">
        <v>1275</v>
      </c>
      <c r="F3" s="8">
        <v>3975</v>
      </c>
      <c r="G3" s="8">
        <v>311</v>
      </c>
      <c r="H3" s="8">
        <v>40</v>
      </c>
      <c r="I3" s="8">
        <v>3624</v>
      </c>
      <c r="P3" t="s">
        <v>64</v>
      </c>
    </row>
    <row r="4" spans="1:16" ht="18">
      <c r="A4" s="5">
        <v>3</v>
      </c>
      <c r="B4" s="5" t="s">
        <v>65</v>
      </c>
      <c r="C4" s="8">
        <v>26</v>
      </c>
      <c r="D4" s="6">
        <v>2370</v>
      </c>
      <c r="E4" s="8">
        <v>2290</v>
      </c>
      <c r="F4" s="8">
        <v>7150</v>
      </c>
      <c r="G4" s="8">
        <v>559</v>
      </c>
      <c r="H4" s="8">
        <v>72</v>
      </c>
      <c r="I4" s="8">
        <v>6519</v>
      </c>
    </row>
    <row r="5" spans="1:16" ht="18">
      <c r="A5" s="5">
        <v>4</v>
      </c>
      <c r="B5" s="5" t="s">
        <v>66</v>
      </c>
      <c r="C5" s="8">
        <v>26</v>
      </c>
      <c r="D5" s="6">
        <v>2370</v>
      </c>
      <c r="E5" s="8">
        <v>2290</v>
      </c>
      <c r="F5" s="8">
        <v>7150</v>
      </c>
      <c r="G5" s="8">
        <v>559</v>
      </c>
      <c r="H5" s="8">
        <v>72</v>
      </c>
      <c r="I5" s="8">
        <v>6519</v>
      </c>
    </row>
    <row r="6" spans="1:16" ht="18">
      <c r="A6" s="5">
        <v>5</v>
      </c>
      <c r="B6" s="5" t="s">
        <v>67</v>
      </c>
      <c r="C6" s="8">
        <v>3</v>
      </c>
      <c r="D6" s="6">
        <v>273.46153846153845</v>
      </c>
      <c r="E6" s="8">
        <v>264.23076923076923</v>
      </c>
      <c r="F6" s="8">
        <v>825</v>
      </c>
      <c r="G6" s="8">
        <v>65</v>
      </c>
      <c r="H6" s="8">
        <v>8</v>
      </c>
      <c r="I6" s="8">
        <v>752</v>
      </c>
    </row>
    <row r="7" spans="1:16" ht="18">
      <c r="A7" s="5">
        <v>6</v>
      </c>
      <c r="B7" s="5" t="s">
        <v>68</v>
      </c>
      <c r="C7" s="8">
        <v>2</v>
      </c>
      <c r="D7" s="6">
        <v>182.30769230769232</v>
      </c>
      <c r="E7" s="8">
        <v>176.15384615384616</v>
      </c>
      <c r="F7" s="8">
        <v>550</v>
      </c>
      <c r="G7" s="8">
        <v>43</v>
      </c>
      <c r="H7" s="8">
        <v>6</v>
      </c>
      <c r="I7" s="8">
        <v>501</v>
      </c>
    </row>
    <row r="8" spans="1:16" ht="18">
      <c r="A8" s="5">
        <v>7</v>
      </c>
      <c r="B8" s="5" t="s">
        <v>61</v>
      </c>
      <c r="C8" s="8">
        <v>22</v>
      </c>
      <c r="D8" s="6">
        <v>2005.3846153846155</v>
      </c>
      <c r="E8" s="8">
        <v>1937.6923076923078</v>
      </c>
      <c r="F8" s="8">
        <v>6050</v>
      </c>
      <c r="G8" s="8">
        <v>473</v>
      </c>
      <c r="H8" s="8">
        <v>61</v>
      </c>
      <c r="I8" s="8">
        <v>5516</v>
      </c>
    </row>
    <row r="9" spans="1:16" ht="18">
      <c r="A9" s="5">
        <v>8</v>
      </c>
      <c r="B9" s="5" t="s">
        <v>69</v>
      </c>
      <c r="C9" s="8">
        <v>22</v>
      </c>
      <c r="D9" s="6">
        <v>2005.3846153846155</v>
      </c>
      <c r="E9" s="8">
        <v>1937.6923076923078</v>
      </c>
      <c r="F9" s="8">
        <v>6050</v>
      </c>
      <c r="G9" s="8">
        <v>473</v>
      </c>
      <c r="H9" s="8">
        <v>61</v>
      </c>
      <c r="I9" s="8">
        <v>5516</v>
      </c>
    </row>
    <row r="10" spans="1:16" ht="18">
      <c r="A10" s="5">
        <v>9</v>
      </c>
      <c r="B10" s="5" t="s">
        <v>70</v>
      </c>
      <c r="C10" s="8">
        <v>26</v>
      </c>
      <c r="D10" s="6">
        <v>2370</v>
      </c>
      <c r="E10" s="8">
        <v>2290</v>
      </c>
      <c r="F10" s="8">
        <v>7150</v>
      </c>
      <c r="G10" s="8">
        <v>559</v>
      </c>
      <c r="H10" s="8">
        <v>72</v>
      </c>
      <c r="I10" s="8">
        <v>6519</v>
      </c>
    </row>
    <row r="11" spans="1:16" ht="18">
      <c r="A11" s="5">
        <v>10</v>
      </c>
      <c r="B11" s="5" t="s">
        <v>71</v>
      </c>
      <c r="C11" s="8">
        <v>26</v>
      </c>
      <c r="D11" s="6">
        <v>2370</v>
      </c>
      <c r="E11" s="8">
        <v>2290</v>
      </c>
      <c r="F11" s="8">
        <v>7150</v>
      </c>
      <c r="G11" s="8">
        <v>559</v>
      </c>
      <c r="H11" s="8">
        <v>72</v>
      </c>
      <c r="I11" s="8">
        <v>6519</v>
      </c>
    </row>
    <row r="12" spans="1:16" ht="18">
      <c r="A12" s="5">
        <v>11</v>
      </c>
      <c r="B12" s="5" t="s">
        <v>72</v>
      </c>
      <c r="C12" s="8">
        <v>26</v>
      </c>
      <c r="D12" s="6">
        <v>2370</v>
      </c>
      <c r="E12" s="8">
        <v>2290</v>
      </c>
      <c r="F12" s="8">
        <v>7150</v>
      </c>
      <c r="G12" s="8">
        <v>559</v>
      </c>
      <c r="H12" s="8">
        <v>72</v>
      </c>
      <c r="I12" s="8">
        <v>6519</v>
      </c>
    </row>
    <row r="13" spans="1:16" ht="18">
      <c r="A13" s="5">
        <v>12</v>
      </c>
      <c r="B13" s="5" t="s">
        <v>73</v>
      </c>
      <c r="C13" s="8">
        <v>24</v>
      </c>
      <c r="D13" s="6">
        <v>2104.6153846153848</v>
      </c>
      <c r="E13" s="8">
        <v>2040</v>
      </c>
      <c r="F13" s="8">
        <v>6360</v>
      </c>
      <c r="G13" s="8">
        <v>497</v>
      </c>
      <c r="H13" s="8">
        <v>64</v>
      </c>
      <c r="I13" s="8">
        <v>5799</v>
      </c>
    </row>
    <row r="14" spans="1:16" ht="18">
      <c r="A14" s="5">
        <v>13</v>
      </c>
      <c r="B14" s="5" t="s">
        <v>74</v>
      </c>
      <c r="C14" s="8">
        <v>26</v>
      </c>
      <c r="D14" s="6">
        <v>2370</v>
      </c>
      <c r="E14" s="8">
        <v>2290</v>
      </c>
      <c r="F14" s="8">
        <v>7150</v>
      </c>
      <c r="G14" s="8">
        <v>559</v>
      </c>
      <c r="H14" s="8">
        <v>72</v>
      </c>
      <c r="I14" s="8">
        <v>6519</v>
      </c>
    </row>
    <row r="15" spans="1:16" ht="18">
      <c r="A15" s="5">
        <v>14</v>
      </c>
      <c r="B15" s="5" t="s">
        <v>75</v>
      </c>
      <c r="C15" s="8">
        <v>25</v>
      </c>
      <c r="D15" s="6">
        <v>2278.8461538461538</v>
      </c>
      <c r="E15" s="8">
        <v>2201.9230769230771</v>
      </c>
      <c r="F15" s="8">
        <v>6875</v>
      </c>
      <c r="G15" s="8">
        <v>538</v>
      </c>
      <c r="H15" s="8">
        <v>69</v>
      </c>
      <c r="I15" s="8">
        <v>6268</v>
      </c>
    </row>
    <row r="16" spans="1:16" ht="18">
      <c r="A16" s="5">
        <v>15</v>
      </c>
      <c r="B16" s="5" t="s">
        <v>76</v>
      </c>
      <c r="C16" s="8">
        <v>17</v>
      </c>
      <c r="D16" s="6">
        <v>1549.6153846153848</v>
      </c>
      <c r="E16" s="8">
        <v>1497.3076923076924</v>
      </c>
      <c r="F16" s="8">
        <v>4675</v>
      </c>
      <c r="G16" s="8">
        <v>366</v>
      </c>
      <c r="H16" s="8">
        <v>47</v>
      </c>
      <c r="I16" s="8">
        <v>4262</v>
      </c>
    </row>
    <row r="17" spans="1:9" ht="18">
      <c r="A17" s="5">
        <v>16</v>
      </c>
      <c r="B17" s="5" t="s">
        <v>62</v>
      </c>
      <c r="C17" s="8">
        <v>17</v>
      </c>
      <c r="D17" s="6">
        <v>1549.6153846153848</v>
      </c>
      <c r="E17" s="8">
        <v>1497.3076923076924</v>
      </c>
      <c r="F17" s="8">
        <v>4675</v>
      </c>
      <c r="G17" s="8">
        <v>366</v>
      </c>
      <c r="H17" s="8">
        <v>47</v>
      </c>
      <c r="I17" s="8">
        <v>4262</v>
      </c>
    </row>
    <row r="18" spans="1:9" ht="18">
      <c r="A18" s="5">
        <v>17</v>
      </c>
      <c r="B18" s="5" t="s">
        <v>77</v>
      </c>
      <c r="C18" s="8">
        <v>3</v>
      </c>
      <c r="D18" s="6">
        <v>263.07692307692309</v>
      </c>
      <c r="E18" s="8">
        <v>255</v>
      </c>
      <c r="F18" s="8">
        <v>795</v>
      </c>
      <c r="G18" s="8">
        <v>62</v>
      </c>
      <c r="H18" s="8">
        <v>8</v>
      </c>
      <c r="I18" s="8">
        <v>725</v>
      </c>
    </row>
    <row r="19" spans="1:9" ht="18">
      <c r="A19" s="5">
        <v>18</v>
      </c>
      <c r="B19" s="5" t="s">
        <v>78</v>
      </c>
      <c r="C19" s="8">
        <v>19</v>
      </c>
      <c r="D19" s="6">
        <v>1731.9230769230771</v>
      </c>
      <c r="E19" s="8">
        <v>1673.4615384615386</v>
      </c>
      <c r="F19" s="8">
        <v>5225</v>
      </c>
      <c r="G19" s="8">
        <v>409</v>
      </c>
      <c r="H19" s="8">
        <v>52</v>
      </c>
      <c r="I19" s="8">
        <v>4764</v>
      </c>
    </row>
    <row r="20" spans="1:9" ht="18">
      <c r="A20" s="5">
        <v>19</v>
      </c>
      <c r="B20" s="5" t="s">
        <v>79</v>
      </c>
      <c r="C20" s="8">
        <v>26</v>
      </c>
      <c r="D20" s="6">
        <v>2370</v>
      </c>
      <c r="E20" s="8">
        <v>2290</v>
      </c>
      <c r="F20" s="8">
        <v>7150</v>
      </c>
      <c r="G20" s="8">
        <v>559</v>
      </c>
      <c r="H20" s="8">
        <v>72</v>
      </c>
      <c r="I20" s="8">
        <v>6519</v>
      </c>
    </row>
    <row r="21" spans="1:9" ht="18">
      <c r="A21" s="5">
        <v>20</v>
      </c>
      <c r="B21" s="5" t="s">
        <v>80</v>
      </c>
      <c r="C21" s="8">
        <v>5</v>
      </c>
      <c r="D21" s="6">
        <v>455.76923076923083</v>
      </c>
      <c r="E21" s="8">
        <v>440.38461538461542</v>
      </c>
      <c r="F21" s="8">
        <v>1375</v>
      </c>
      <c r="G21" s="8">
        <v>108</v>
      </c>
      <c r="H21" s="8">
        <v>14</v>
      </c>
      <c r="I21" s="8">
        <v>1253</v>
      </c>
    </row>
  </sheetData>
  <dataValidations count="2">
    <dataValidation type="list" allowBlank="1" showInputMessage="1" showErrorMessage="1" sqref="K2" xr:uid="{00000000-0002-0000-0200-000000000000}">
      <formula1>$B:$B</formula1>
    </dataValidation>
    <dataValidation type="list" allowBlank="1" showInputMessage="1" showErrorMessage="1" sqref="O2" xr:uid="{FE49E8D6-68CD-4B67-B8C7-C9953182E01A}">
      <formula1>$B$2:$B$21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zoomScale="200" zoomScaleNormal="200" workbookViewId="0">
      <selection sqref="A1:E18"/>
    </sheetView>
  </sheetViews>
  <sheetFormatPr defaultRowHeight="14.45"/>
  <cols>
    <col min="1" max="1" width="11.140625" style="18" bestFit="1" customWidth="1"/>
    <col min="2" max="3" width="10.42578125" style="18" bestFit="1" customWidth="1"/>
    <col min="4" max="4" width="12.7109375" style="18" customWidth="1"/>
    <col min="5" max="5" width="9.42578125" style="18" bestFit="1" customWidth="1"/>
    <col min="7" max="7" width="10.7109375" customWidth="1"/>
    <col min="8" max="8" width="11.42578125" customWidth="1"/>
    <col min="10" max="10" width="11.28515625" bestFit="1" customWidth="1"/>
  </cols>
  <sheetData>
    <row r="1" spans="1:12" ht="15.75">
      <c r="A1" s="13" t="s">
        <v>81</v>
      </c>
      <c r="B1" s="14" t="s">
        <v>82</v>
      </c>
      <c r="C1" s="13" t="s">
        <v>83</v>
      </c>
      <c r="D1" s="13" t="s">
        <v>84</v>
      </c>
      <c r="E1" s="13" t="s">
        <v>85</v>
      </c>
      <c r="G1" s="19" t="s">
        <v>81</v>
      </c>
      <c r="H1" s="1">
        <v>5600011</v>
      </c>
      <c r="K1" s="54" t="s">
        <v>81</v>
      </c>
      <c r="L1">
        <v>5600003</v>
      </c>
    </row>
    <row r="2" spans="1:12" ht="15.75">
      <c r="A2" s="15">
        <v>5600001</v>
      </c>
      <c r="B2" s="16">
        <v>5000</v>
      </c>
      <c r="C2" s="17" t="s">
        <v>86</v>
      </c>
      <c r="D2" s="17" t="s">
        <v>87</v>
      </c>
      <c r="E2" s="17" t="s">
        <v>88</v>
      </c>
      <c r="F2">
        <f>ROW(A2)</f>
        <v>2</v>
      </c>
      <c r="G2" s="19" t="s">
        <v>82</v>
      </c>
      <c r="H2" s="1">
        <f>VLOOKUP($H$1,LIST1,ROW(),0)</f>
        <v>7177</v>
      </c>
      <c r="K2" s="54" t="s">
        <v>82</v>
      </c>
      <c r="L2">
        <f>VLOOKUP(L1, LIST1, ROW(),0)</f>
        <v>500</v>
      </c>
    </row>
    <row r="3" spans="1:12" ht="15.75">
      <c r="A3" s="15">
        <v>5600002</v>
      </c>
      <c r="B3" s="16">
        <v>14571</v>
      </c>
      <c r="C3" s="17" t="s">
        <v>89</v>
      </c>
      <c r="D3" s="17" t="s">
        <v>87</v>
      </c>
      <c r="E3" s="17" t="s">
        <v>90</v>
      </c>
      <c r="F3">
        <f>ROW(A3)</f>
        <v>3</v>
      </c>
      <c r="G3" s="19" t="s">
        <v>83</v>
      </c>
      <c r="H3" s="1" t="str">
        <f>VLOOKUP($H$1,LIST1,ROW(),0)</f>
        <v>Savings</v>
      </c>
      <c r="K3" s="54" t="s">
        <v>83</v>
      </c>
      <c r="L3" t="str">
        <f>VLOOKUP(L1,LIST1, ROW(), 0)</f>
        <v>Checking</v>
      </c>
    </row>
    <row r="4" spans="1:12" ht="15.75">
      <c r="A4" s="15">
        <v>5600003</v>
      </c>
      <c r="B4" s="16">
        <v>500</v>
      </c>
      <c r="C4" s="17" t="s">
        <v>91</v>
      </c>
      <c r="D4" s="17" t="s">
        <v>87</v>
      </c>
      <c r="E4" s="17" t="s">
        <v>88</v>
      </c>
      <c r="F4">
        <f>ROW(A4)</f>
        <v>4</v>
      </c>
      <c r="G4" s="19" t="s">
        <v>84</v>
      </c>
      <c r="H4" s="1" t="str">
        <f>VLOOKUP($H$1,LIST1,ROW(),0)</f>
        <v>North County</v>
      </c>
      <c r="K4" s="54" t="s">
        <v>84</v>
      </c>
      <c r="L4" t="str">
        <f>VLOOKUP(L1,LIST1, ROW(), TRUE)</f>
        <v>Central</v>
      </c>
    </row>
    <row r="5" spans="1:12" ht="15.75">
      <c r="A5" s="15">
        <v>5600004</v>
      </c>
      <c r="B5" s="16">
        <v>15000</v>
      </c>
      <c r="C5" s="17" t="s">
        <v>89</v>
      </c>
      <c r="D5" s="17" t="s">
        <v>87</v>
      </c>
      <c r="E5" s="17" t="s">
        <v>88</v>
      </c>
      <c r="F5">
        <f>ROW(A5)</f>
        <v>5</v>
      </c>
      <c r="G5" s="19" t="s">
        <v>85</v>
      </c>
      <c r="H5" s="1" t="str">
        <f>VLOOKUP($H$1,LIST1,ROW(),0)</f>
        <v>Existing</v>
      </c>
      <c r="K5" s="54" t="s">
        <v>85</v>
      </c>
      <c r="L5" t="str">
        <f>VLOOKUP(L1,LIST1, ROW(), 0)</f>
        <v>Existing</v>
      </c>
    </row>
    <row r="6" spans="1:12" ht="15">
      <c r="A6" s="15">
        <v>5600005</v>
      </c>
      <c r="B6" s="16">
        <v>4623</v>
      </c>
      <c r="C6" s="17" t="s">
        <v>92</v>
      </c>
      <c r="D6" s="17" t="s">
        <v>93</v>
      </c>
      <c r="E6" s="17" t="s">
        <v>88</v>
      </c>
    </row>
    <row r="7" spans="1:12" ht="15">
      <c r="A7" s="15">
        <v>5600006</v>
      </c>
      <c r="B7" s="16">
        <v>8721</v>
      </c>
      <c r="C7" s="17" t="s">
        <v>92</v>
      </c>
      <c r="D7" s="17" t="s">
        <v>94</v>
      </c>
      <c r="E7" s="17" t="s">
        <v>90</v>
      </c>
    </row>
    <row r="8" spans="1:12" ht="15">
      <c r="A8" s="15">
        <v>5600007</v>
      </c>
      <c r="B8" s="16">
        <v>15276</v>
      </c>
      <c r="C8" s="17" t="s">
        <v>92</v>
      </c>
      <c r="D8" s="17" t="s">
        <v>93</v>
      </c>
      <c r="E8" s="17" t="s">
        <v>88</v>
      </c>
    </row>
    <row r="9" spans="1:12" ht="15">
      <c r="A9" s="15">
        <v>5600008</v>
      </c>
      <c r="B9" s="16">
        <v>5000</v>
      </c>
      <c r="C9" s="17" t="s">
        <v>92</v>
      </c>
      <c r="D9" s="17" t="s">
        <v>94</v>
      </c>
      <c r="E9" s="17" t="s">
        <v>88</v>
      </c>
    </row>
    <row r="10" spans="1:12">
      <c r="A10" s="15">
        <v>5600009</v>
      </c>
      <c r="B10" s="16">
        <v>15759</v>
      </c>
      <c r="C10" s="17" t="s">
        <v>89</v>
      </c>
      <c r="D10" s="17" t="s">
        <v>94</v>
      </c>
      <c r="E10" s="17" t="s">
        <v>88</v>
      </c>
    </row>
    <row r="11" spans="1:12">
      <c r="A11" s="15">
        <v>5600010</v>
      </c>
      <c r="B11" s="16">
        <v>12000</v>
      </c>
      <c r="C11" s="17" t="s">
        <v>89</v>
      </c>
      <c r="D11" s="17" t="s">
        <v>94</v>
      </c>
      <c r="E11" s="17" t="s">
        <v>88</v>
      </c>
    </row>
    <row r="12" spans="1:12">
      <c r="A12" s="15">
        <v>5600011</v>
      </c>
      <c r="B12" s="16">
        <v>7177</v>
      </c>
      <c r="C12" s="17" t="s">
        <v>92</v>
      </c>
      <c r="D12" s="17" t="s">
        <v>93</v>
      </c>
      <c r="E12" s="17" t="s">
        <v>88</v>
      </c>
      <c r="K12" t="s">
        <v>95</v>
      </c>
    </row>
    <row r="13" spans="1:12">
      <c r="A13" s="15">
        <v>5600012</v>
      </c>
      <c r="B13" s="16">
        <v>6837</v>
      </c>
      <c r="C13" s="17" t="s">
        <v>92</v>
      </c>
      <c r="D13" s="17" t="s">
        <v>94</v>
      </c>
      <c r="E13" s="17" t="s">
        <v>88</v>
      </c>
    </row>
    <row r="14" spans="1:12">
      <c r="A14" s="15">
        <v>5600013</v>
      </c>
      <c r="B14" s="16">
        <v>3171</v>
      </c>
      <c r="C14" s="17" t="s">
        <v>91</v>
      </c>
      <c r="D14" s="17" t="s">
        <v>94</v>
      </c>
      <c r="E14" s="17" t="s">
        <v>88</v>
      </c>
    </row>
    <row r="15" spans="1:12">
      <c r="A15" s="15">
        <v>5600014</v>
      </c>
      <c r="B15" s="16">
        <v>50000</v>
      </c>
      <c r="C15" s="17" t="s">
        <v>92</v>
      </c>
      <c r="D15" s="17" t="s">
        <v>87</v>
      </c>
      <c r="E15" s="17" t="s">
        <v>88</v>
      </c>
    </row>
    <row r="16" spans="1:12">
      <c r="A16" s="15">
        <v>5600015</v>
      </c>
      <c r="B16" s="16">
        <v>4690</v>
      </c>
      <c r="C16" s="17" t="s">
        <v>91</v>
      </c>
      <c r="D16" s="17" t="s">
        <v>93</v>
      </c>
      <c r="E16" s="17" t="s">
        <v>90</v>
      </c>
    </row>
    <row r="17" spans="1:5">
      <c r="A17" s="15">
        <v>5600016</v>
      </c>
      <c r="B17" s="16">
        <v>12438</v>
      </c>
      <c r="C17" s="17" t="s">
        <v>91</v>
      </c>
      <c r="D17" s="17" t="s">
        <v>87</v>
      </c>
      <c r="E17" s="17" t="s">
        <v>88</v>
      </c>
    </row>
    <row r="18" spans="1:5">
      <c r="A18" s="15">
        <v>5600017</v>
      </c>
      <c r="B18" s="16">
        <v>5000</v>
      </c>
      <c r="C18" s="17" t="s">
        <v>91</v>
      </c>
      <c r="D18" s="17" t="s">
        <v>93</v>
      </c>
      <c r="E18" s="17" t="s">
        <v>88</v>
      </c>
    </row>
  </sheetData>
  <dataValidations count="2">
    <dataValidation type="list" allowBlank="1" showInputMessage="1" showErrorMessage="1" sqref="L1" xr:uid="{8D790105-5A6A-47F0-A068-2A1E9E2A9895}">
      <formula1>$A$1:$A$18</formula1>
    </dataValidation>
    <dataValidation type="list" allowBlank="1" showInputMessage="1" showErrorMessage="1" sqref="H1" xr:uid="{00000000-0002-0000-0300-000000000000}">
      <formula1>$A:$A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9"/>
  <sheetViews>
    <sheetView topLeftCell="A28" zoomScale="200" zoomScaleNormal="200" workbookViewId="0">
      <selection activeCell="G47" sqref="G47:J47"/>
    </sheetView>
  </sheetViews>
  <sheetFormatPr defaultRowHeight="15" customHeight="1"/>
  <cols>
    <col min="1" max="1" width="11" bestFit="1" customWidth="1"/>
    <col min="2" max="3" width="8.7109375" bestFit="1" customWidth="1"/>
    <col min="4" max="4" width="9" bestFit="1" customWidth="1"/>
    <col min="5" max="5" width="8.7109375" bestFit="1" customWidth="1"/>
    <col min="6" max="6" width="11" bestFit="1" customWidth="1"/>
    <col min="7" max="7" width="8.5703125" bestFit="1" customWidth="1"/>
    <col min="8" max="8" width="9.140625" bestFit="1" customWidth="1"/>
    <col min="9" max="9" width="7.42578125" bestFit="1" customWidth="1"/>
    <col min="10" max="10" width="9.7109375" bestFit="1" customWidth="1"/>
    <col min="11" max="11" width="9.140625" bestFit="1" customWidth="1"/>
    <col min="12" max="12" width="13" bestFit="1" customWidth="1"/>
    <col min="13" max="14" width="9.140625" bestFit="1" customWidth="1"/>
    <col min="15" max="15" width="8.7109375" bestFit="1" customWidth="1"/>
    <col min="16" max="16" width="13" bestFit="1" customWidth="1"/>
    <col min="17" max="17" width="9" bestFit="1" customWidth="1"/>
    <col min="18" max="18" width="13" bestFit="1" customWidth="1"/>
  </cols>
  <sheetData>
    <row r="1" spans="1:18" ht="15.75">
      <c r="A1" s="13" t="s">
        <v>81</v>
      </c>
      <c r="B1" s="15">
        <v>5600001</v>
      </c>
      <c r="C1" s="15">
        <v>5600002</v>
      </c>
      <c r="D1" s="15">
        <v>5600003</v>
      </c>
      <c r="E1" s="15">
        <v>5600004</v>
      </c>
      <c r="F1" s="15">
        <v>5600005</v>
      </c>
      <c r="G1" s="15">
        <v>5600006</v>
      </c>
      <c r="H1" s="15">
        <v>5600007</v>
      </c>
      <c r="I1" s="15">
        <v>5600008</v>
      </c>
      <c r="J1" s="15">
        <v>5600009</v>
      </c>
      <c r="K1" s="15">
        <v>5600010</v>
      </c>
      <c r="L1" s="15">
        <v>5600011</v>
      </c>
      <c r="M1" s="15">
        <v>5600012</v>
      </c>
      <c r="N1" s="15">
        <v>5600013</v>
      </c>
      <c r="O1" s="15">
        <v>5600014</v>
      </c>
      <c r="P1" s="15">
        <v>5600015</v>
      </c>
      <c r="Q1" s="15">
        <v>5600016</v>
      </c>
      <c r="R1" s="15">
        <v>5600017</v>
      </c>
    </row>
    <row r="2" spans="1:18" ht="15.75">
      <c r="A2" s="14" t="s">
        <v>82</v>
      </c>
      <c r="B2" s="16">
        <v>5000</v>
      </c>
      <c r="C2" s="16">
        <v>14571</v>
      </c>
      <c r="D2" s="16">
        <v>500</v>
      </c>
      <c r="E2" s="16">
        <v>15000</v>
      </c>
      <c r="F2" s="16">
        <v>4623</v>
      </c>
      <c r="G2" s="16">
        <v>8721</v>
      </c>
      <c r="H2" s="16">
        <v>15276</v>
      </c>
      <c r="I2" s="16">
        <v>5000</v>
      </c>
      <c r="J2" s="16">
        <v>15759</v>
      </c>
      <c r="K2" s="16">
        <v>12000</v>
      </c>
      <c r="L2" s="16">
        <v>7177</v>
      </c>
      <c r="M2" s="16">
        <v>6837</v>
      </c>
      <c r="N2" s="16">
        <v>3171</v>
      </c>
      <c r="O2" s="16">
        <v>50000</v>
      </c>
      <c r="P2" s="16">
        <v>4690</v>
      </c>
      <c r="Q2" s="16">
        <v>12438</v>
      </c>
      <c r="R2" s="16">
        <v>5000</v>
      </c>
    </row>
    <row r="3" spans="1:18" ht="15.75">
      <c r="A3" s="13" t="s">
        <v>83</v>
      </c>
      <c r="B3" s="17" t="s">
        <v>86</v>
      </c>
      <c r="C3" s="17" t="s">
        <v>89</v>
      </c>
      <c r="D3" s="17" t="s">
        <v>91</v>
      </c>
      <c r="E3" s="17" t="s">
        <v>89</v>
      </c>
      <c r="F3" s="17" t="s">
        <v>92</v>
      </c>
      <c r="G3" s="17" t="s">
        <v>92</v>
      </c>
      <c r="H3" s="17" t="s">
        <v>92</v>
      </c>
      <c r="I3" s="17" t="s">
        <v>92</v>
      </c>
      <c r="J3" s="17" t="s">
        <v>89</v>
      </c>
      <c r="K3" s="17" t="s">
        <v>89</v>
      </c>
      <c r="L3" s="17" t="s">
        <v>92</v>
      </c>
      <c r="M3" s="17" t="s">
        <v>92</v>
      </c>
      <c r="N3" s="17" t="s">
        <v>91</v>
      </c>
      <c r="O3" s="17" t="s">
        <v>92</v>
      </c>
      <c r="P3" s="17" t="s">
        <v>91</v>
      </c>
      <c r="Q3" s="17" t="s">
        <v>91</v>
      </c>
      <c r="R3" s="17" t="s">
        <v>91</v>
      </c>
    </row>
    <row r="4" spans="1:18" ht="15.75">
      <c r="A4" s="13" t="s">
        <v>84</v>
      </c>
      <c r="B4" s="17" t="s">
        <v>87</v>
      </c>
      <c r="C4" s="17" t="s">
        <v>87</v>
      </c>
      <c r="D4" s="17" t="s">
        <v>87</v>
      </c>
      <c r="E4" s="17" t="s">
        <v>87</v>
      </c>
      <c r="F4" s="17" t="s">
        <v>93</v>
      </c>
      <c r="G4" s="17" t="s">
        <v>94</v>
      </c>
      <c r="H4" s="17" t="s">
        <v>93</v>
      </c>
      <c r="I4" s="17" t="s">
        <v>94</v>
      </c>
      <c r="J4" s="17" t="s">
        <v>94</v>
      </c>
      <c r="K4" s="17" t="s">
        <v>94</v>
      </c>
      <c r="L4" s="17" t="s">
        <v>93</v>
      </c>
      <c r="M4" s="17" t="s">
        <v>94</v>
      </c>
      <c r="N4" s="17" t="s">
        <v>94</v>
      </c>
      <c r="O4" s="17" t="s">
        <v>87</v>
      </c>
      <c r="P4" s="17" t="s">
        <v>93</v>
      </c>
      <c r="Q4" s="17" t="s">
        <v>87</v>
      </c>
      <c r="R4" s="17" t="s">
        <v>93</v>
      </c>
    </row>
    <row r="5" spans="1:18" ht="15.75">
      <c r="A5" s="13" t="s">
        <v>85</v>
      </c>
      <c r="B5" s="17" t="s">
        <v>88</v>
      </c>
      <c r="C5" s="17" t="s">
        <v>90</v>
      </c>
      <c r="D5" s="17" t="s">
        <v>88</v>
      </c>
      <c r="E5" s="17" t="s">
        <v>88</v>
      </c>
      <c r="F5" s="17" t="s">
        <v>88</v>
      </c>
      <c r="G5" s="17" t="s">
        <v>90</v>
      </c>
      <c r="H5" s="17" t="s">
        <v>88</v>
      </c>
      <c r="I5" s="17" t="s">
        <v>88</v>
      </c>
      <c r="J5" s="17" t="s">
        <v>88</v>
      </c>
      <c r="K5" s="17" t="s">
        <v>88</v>
      </c>
      <c r="L5" s="17" t="s">
        <v>88</v>
      </c>
      <c r="M5" s="17" t="s">
        <v>88</v>
      </c>
      <c r="N5" s="17" t="s">
        <v>88</v>
      </c>
      <c r="O5" s="17" t="s">
        <v>88</v>
      </c>
      <c r="P5" s="17" t="s">
        <v>90</v>
      </c>
      <c r="Q5" s="17" t="s">
        <v>88</v>
      </c>
      <c r="R5" s="17" t="s">
        <v>88</v>
      </c>
    </row>
    <row r="8" spans="1:18" ht="15.75">
      <c r="C8" s="13" t="s">
        <v>81</v>
      </c>
      <c r="D8" s="14" t="s">
        <v>82</v>
      </c>
      <c r="E8" s="13" t="s">
        <v>83</v>
      </c>
      <c r="F8" s="13" t="s">
        <v>84</v>
      </c>
      <c r="G8" s="13" t="s">
        <v>85</v>
      </c>
    </row>
    <row r="9" spans="1:18">
      <c r="C9">
        <v>5600004</v>
      </c>
      <c r="D9">
        <f>HLOOKUP($C$9,1:5,COLUMN()-2,0)</f>
        <v>15000</v>
      </c>
      <c r="E9" t="str">
        <f>HLOOKUP($C$9,1:5,COLUMN()-2,0)</f>
        <v>CD</v>
      </c>
      <c r="F9" t="str">
        <f>HLOOKUP($C$9,1:5,COLUMN()-2,0)</f>
        <v>Central</v>
      </c>
      <c r="G9" t="str">
        <f t="shared" ref="G9" si="0">HLOOKUP($C$9,1:5,COLUMN()-2,0)</f>
        <v>Existing</v>
      </c>
    </row>
    <row r="11" spans="1:18">
      <c r="D11">
        <f>COLUMN()</f>
        <v>4</v>
      </c>
      <c r="E11">
        <f>COLUMN()</f>
        <v>5</v>
      </c>
      <c r="F11">
        <f>COLUMN()</f>
        <v>6</v>
      </c>
      <c r="G11">
        <f>COLUMN()</f>
        <v>7</v>
      </c>
    </row>
    <row r="38" spans="1:18" ht="15.75">
      <c r="A38" s="13" t="s">
        <v>81</v>
      </c>
      <c r="B38" s="15">
        <v>5600001</v>
      </c>
      <c r="C38" s="15">
        <v>5600002</v>
      </c>
      <c r="D38" s="15">
        <v>5600003</v>
      </c>
      <c r="E38" s="15">
        <v>5600004</v>
      </c>
      <c r="F38" s="15">
        <v>5600005</v>
      </c>
      <c r="G38" s="15">
        <v>5600006</v>
      </c>
      <c r="H38" s="15">
        <v>5600007</v>
      </c>
      <c r="I38" s="15">
        <v>5600008</v>
      </c>
      <c r="J38" s="15">
        <v>5600009</v>
      </c>
      <c r="K38" s="15">
        <v>5600010</v>
      </c>
      <c r="L38" s="15">
        <v>5600011</v>
      </c>
      <c r="M38" s="15">
        <v>5600012</v>
      </c>
      <c r="N38" s="15">
        <v>5600013</v>
      </c>
      <c r="O38" s="15">
        <v>5600014</v>
      </c>
      <c r="P38" s="15">
        <v>5600015</v>
      </c>
      <c r="Q38" s="15">
        <v>5600016</v>
      </c>
      <c r="R38" s="15">
        <v>5600017</v>
      </c>
    </row>
    <row r="39" spans="1:18" ht="15.75">
      <c r="A39" s="14" t="s">
        <v>82</v>
      </c>
      <c r="B39" s="16">
        <v>5000</v>
      </c>
      <c r="C39" s="16">
        <v>14571</v>
      </c>
      <c r="D39" s="16">
        <v>500</v>
      </c>
      <c r="E39" s="16">
        <v>15000</v>
      </c>
      <c r="F39" s="16">
        <v>4623</v>
      </c>
      <c r="G39" s="16">
        <v>8721</v>
      </c>
      <c r="H39" s="16">
        <v>15276</v>
      </c>
      <c r="I39" s="16">
        <v>5000</v>
      </c>
      <c r="J39" s="16">
        <v>15759</v>
      </c>
      <c r="K39" s="16">
        <v>12000</v>
      </c>
      <c r="L39" s="16">
        <v>7177</v>
      </c>
      <c r="M39" s="16">
        <v>6837</v>
      </c>
      <c r="N39" s="16">
        <v>3171</v>
      </c>
      <c r="O39" s="16">
        <v>50000</v>
      </c>
      <c r="P39" s="16">
        <v>4690</v>
      </c>
      <c r="Q39" s="16">
        <v>12438</v>
      </c>
      <c r="R39" s="16">
        <v>5000</v>
      </c>
    </row>
    <row r="40" spans="1:18" ht="15.75">
      <c r="A40" s="13" t="s">
        <v>83</v>
      </c>
      <c r="B40" s="17" t="s">
        <v>86</v>
      </c>
      <c r="C40" s="17" t="s">
        <v>89</v>
      </c>
      <c r="D40" s="17" t="s">
        <v>91</v>
      </c>
      <c r="E40" s="17" t="s">
        <v>89</v>
      </c>
      <c r="F40" s="17" t="s">
        <v>92</v>
      </c>
      <c r="G40" s="17" t="s">
        <v>92</v>
      </c>
      <c r="H40" s="17" t="s">
        <v>92</v>
      </c>
      <c r="I40" s="17" t="s">
        <v>92</v>
      </c>
      <c r="J40" s="17" t="s">
        <v>89</v>
      </c>
      <c r="K40" s="17" t="s">
        <v>89</v>
      </c>
      <c r="L40" s="17" t="s">
        <v>92</v>
      </c>
      <c r="M40" s="17" t="s">
        <v>92</v>
      </c>
      <c r="N40" s="17" t="s">
        <v>91</v>
      </c>
      <c r="O40" s="17" t="s">
        <v>92</v>
      </c>
      <c r="P40" s="17" t="s">
        <v>91</v>
      </c>
      <c r="Q40" s="17" t="s">
        <v>91</v>
      </c>
      <c r="R40" s="17" t="s">
        <v>91</v>
      </c>
    </row>
    <row r="41" spans="1:18" ht="15.75">
      <c r="A41" s="13" t="s">
        <v>84</v>
      </c>
      <c r="B41" s="17" t="s">
        <v>87</v>
      </c>
      <c r="C41" s="17" t="s">
        <v>87</v>
      </c>
      <c r="D41" s="17" t="s">
        <v>87</v>
      </c>
      <c r="E41" s="17" t="s">
        <v>87</v>
      </c>
      <c r="F41" s="17" t="s">
        <v>93</v>
      </c>
      <c r="G41" s="17" t="s">
        <v>94</v>
      </c>
      <c r="H41" s="17" t="s">
        <v>93</v>
      </c>
      <c r="I41" s="17" t="s">
        <v>94</v>
      </c>
      <c r="J41" s="17" t="s">
        <v>94</v>
      </c>
      <c r="K41" s="17" t="s">
        <v>94</v>
      </c>
      <c r="L41" s="17" t="s">
        <v>93</v>
      </c>
      <c r="M41" s="17" t="s">
        <v>94</v>
      </c>
      <c r="N41" s="17" t="s">
        <v>94</v>
      </c>
      <c r="O41" s="17" t="s">
        <v>87</v>
      </c>
      <c r="P41" s="17" t="s">
        <v>93</v>
      </c>
      <c r="Q41" s="17" t="s">
        <v>87</v>
      </c>
      <c r="R41" s="17" t="s">
        <v>93</v>
      </c>
    </row>
    <row r="42" spans="1:18" ht="15.75">
      <c r="A42" s="13" t="s">
        <v>85</v>
      </c>
      <c r="B42" s="17" t="s">
        <v>88</v>
      </c>
      <c r="C42" s="17" t="s">
        <v>90</v>
      </c>
      <c r="D42" s="17" t="s">
        <v>88</v>
      </c>
      <c r="E42" s="17" t="s">
        <v>88</v>
      </c>
      <c r="F42" s="17" t="s">
        <v>88</v>
      </c>
      <c r="G42" s="17" t="s">
        <v>90</v>
      </c>
      <c r="H42" s="17" t="s">
        <v>88</v>
      </c>
      <c r="I42" s="17" t="s">
        <v>88</v>
      </c>
      <c r="J42" s="17" t="s">
        <v>88</v>
      </c>
      <c r="K42" s="17" t="s">
        <v>88</v>
      </c>
      <c r="L42" s="17" t="s">
        <v>88</v>
      </c>
      <c r="M42" s="17" t="s">
        <v>88</v>
      </c>
      <c r="N42" s="17" t="s">
        <v>88</v>
      </c>
      <c r="O42" s="17" t="s">
        <v>88</v>
      </c>
      <c r="P42" s="17" t="s">
        <v>90</v>
      </c>
      <c r="Q42" s="17" t="s">
        <v>88</v>
      </c>
      <c r="R42" s="17" t="s">
        <v>88</v>
      </c>
    </row>
    <row r="46" spans="1:18" ht="15.75">
      <c r="F46" s="13" t="s">
        <v>81</v>
      </c>
      <c r="G46" s="14" t="s">
        <v>82</v>
      </c>
      <c r="H46" s="13" t="s">
        <v>83</v>
      </c>
      <c r="I46" s="13" t="s">
        <v>84</v>
      </c>
      <c r="J46" s="13" t="s">
        <v>85</v>
      </c>
    </row>
    <row r="47" spans="1:18" ht="15" customHeight="1">
      <c r="F47">
        <v>5600003</v>
      </c>
      <c r="G47">
        <f>HLOOKUP($F$47,A38:R42,COLUMN()-5,0)</f>
        <v>500</v>
      </c>
      <c r="H47" t="str">
        <f t="shared" ref="H47:J47" si="1">HLOOKUP($F$47,B38:S42,COLUMN()-5,0)</f>
        <v>Checking</v>
      </c>
      <c r="I47" t="str">
        <f t="shared" si="1"/>
        <v>Central</v>
      </c>
      <c r="J47" t="str">
        <f t="shared" si="1"/>
        <v>Existing</v>
      </c>
    </row>
    <row r="49" spans="7:10" ht="15" customHeight="1">
      <c r="G49">
        <f>COLUMN()</f>
        <v>7</v>
      </c>
      <c r="H49">
        <f>COLUMN()</f>
        <v>8</v>
      </c>
      <c r="I49">
        <f>COLUMN()</f>
        <v>9</v>
      </c>
      <c r="J49">
        <f>COLUMN()</f>
        <v>10</v>
      </c>
    </row>
  </sheetData>
  <dataValidations count="2">
    <dataValidation type="list" allowBlank="1" showInputMessage="1" showErrorMessage="1" sqref="C9" xr:uid="{00000000-0002-0000-0400-000000000000}">
      <formula1>$B$1:$R$1</formula1>
    </dataValidation>
    <dataValidation type="list" allowBlank="1" showInputMessage="1" showErrorMessage="1" sqref="F47" xr:uid="{E56EAFB3-3A8A-4030-9C49-3075F5C4035F}">
      <formula1>$B$38:$R$38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zoomScale="205" zoomScaleNormal="205" workbookViewId="0">
      <selection activeCell="J6" sqref="J6"/>
    </sheetView>
  </sheetViews>
  <sheetFormatPr defaultRowHeight="14.45"/>
  <cols>
    <col min="1" max="1" width="13.85546875" bestFit="1" customWidth="1"/>
    <col min="2" max="2" width="17" bestFit="1" customWidth="1"/>
    <col min="3" max="3" width="11.28515625" bestFit="1" customWidth="1"/>
    <col min="5" max="5" width="17" bestFit="1" customWidth="1"/>
    <col min="9" max="9" width="18.28515625" bestFit="1" customWidth="1"/>
  </cols>
  <sheetData>
    <row r="1" spans="1:10">
      <c r="A1" s="21" t="s">
        <v>96</v>
      </c>
      <c r="B1" s="21" t="s">
        <v>97</v>
      </c>
      <c r="C1" s="22" t="s">
        <v>98</v>
      </c>
      <c r="E1" s="1" t="s">
        <v>99</v>
      </c>
      <c r="F1">
        <f>SUMIF($B$2:$B$13,E1,$C$2:$C$13)</f>
        <v>104000</v>
      </c>
      <c r="I1" s="1" t="s">
        <v>99</v>
      </c>
      <c r="J1">
        <f>SUMIF($B$2:$B$13,E1,$C$2:$C$13)</f>
        <v>104000</v>
      </c>
    </row>
    <row r="2" spans="1:10">
      <c r="A2" s="1" t="s">
        <v>100</v>
      </c>
      <c r="B2" s="1" t="s">
        <v>99</v>
      </c>
      <c r="C2" s="20">
        <v>15000</v>
      </c>
      <c r="E2" s="1" t="s">
        <v>101</v>
      </c>
      <c r="F2">
        <f t="shared" ref="F2:F3" si="0">SUMIF($B$2:$B$13,E2,$C$2:$C$13)</f>
        <v>102000</v>
      </c>
      <c r="I2" s="1" t="s">
        <v>101</v>
      </c>
      <c r="J2">
        <f t="shared" ref="J2:J3" si="1">SUMIF($B$2:$B$13,E2,$C$2:$C$13)</f>
        <v>102000</v>
      </c>
    </row>
    <row r="3" spans="1:10">
      <c r="A3" s="1" t="s">
        <v>102</v>
      </c>
      <c r="B3" s="1" t="s">
        <v>101</v>
      </c>
      <c r="C3" s="20">
        <v>15000</v>
      </c>
      <c r="E3" s="1" t="s">
        <v>103</v>
      </c>
      <c r="F3">
        <f t="shared" si="0"/>
        <v>49000</v>
      </c>
      <c r="I3" s="1" t="s">
        <v>103</v>
      </c>
      <c r="J3">
        <f>SUMIF($B$2:$B$13,E3,$C$2:$C$13)</f>
        <v>49000</v>
      </c>
    </row>
    <row r="4" spans="1:10">
      <c r="A4" s="1" t="s">
        <v>104</v>
      </c>
      <c r="B4" s="1" t="s">
        <v>103</v>
      </c>
      <c r="C4" s="20">
        <v>12000</v>
      </c>
    </row>
    <row r="5" spans="1:10">
      <c r="A5" s="1" t="s">
        <v>105</v>
      </c>
      <c r="B5" s="1" t="s">
        <v>99</v>
      </c>
      <c r="C5" s="20">
        <v>12000</v>
      </c>
      <c r="J5" t="s">
        <v>106</v>
      </c>
    </row>
    <row r="6" spans="1:10">
      <c r="A6" s="1" t="s">
        <v>107</v>
      </c>
      <c r="B6" s="1" t="s">
        <v>99</v>
      </c>
      <c r="C6" s="20">
        <v>15000</v>
      </c>
    </row>
    <row r="7" spans="1:10">
      <c r="A7" s="1" t="s">
        <v>108</v>
      </c>
      <c r="B7" s="1" t="s">
        <v>101</v>
      </c>
      <c r="C7" s="20">
        <v>12000</v>
      </c>
    </row>
    <row r="8" spans="1:10">
      <c r="A8" s="1" t="s">
        <v>109</v>
      </c>
      <c r="B8" s="1" t="s">
        <v>103</v>
      </c>
      <c r="C8" s="20">
        <v>12000</v>
      </c>
    </row>
    <row r="9" spans="1:10">
      <c r="A9" s="1" t="s">
        <v>110</v>
      </c>
      <c r="B9" s="1" t="s">
        <v>99</v>
      </c>
      <c r="C9" s="20">
        <v>15000</v>
      </c>
    </row>
    <row r="10" spans="1:10">
      <c r="A10" s="1" t="s">
        <v>111</v>
      </c>
      <c r="B10" s="1" t="s">
        <v>99</v>
      </c>
      <c r="C10" s="20">
        <v>12000</v>
      </c>
    </row>
    <row r="11" spans="1:10">
      <c r="A11" s="1" t="s">
        <v>112</v>
      </c>
      <c r="B11" s="1" t="s">
        <v>101</v>
      </c>
      <c r="C11" s="20">
        <v>75000</v>
      </c>
    </row>
    <row r="12" spans="1:10">
      <c r="A12" s="1" t="s">
        <v>113</v>
      </c>
      <c r="B12" s="1" t="s">
        <v>103</v>
      </c>
      <c r="C12" s="20">
        <v>25000</v>
      </c>
    </row>
    <row r="13" spans="1:10">
      <c r="A13" s="1" t="s">
        <v>114</v>
      </c>
      <c r="B13" s="1" t="s">
        <v>99</v>
      </c>
      <c r="C13" s="20">
        <v>35000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3"/>
  <sheetViews>
    <sheetView topLeftCell="B1" zoomScale="200" zoomScaleNormal="200" workbookViewId="0">
      <selection activeCell="O3" sqref="O3"/>
    </sheetView>
  </sheetViews>
  <sheetFormatPr defaultRowHeight="14.4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  <col min="11" max="11" width="10.42578125" bestFit="1" customWidth="1"/>
  </cols>
  <sheetData>
    <row r="1" spans="1:15">
      <c r="A1" s="24" t="s">
        <v>115</v>
      </c>
      <c r="B1" s="24" t="s">
        <v>116</v>
      </c>
      <c r="C1" s="24" t="s">
        <v>117</v>
      </c>
      <c r="D1" s="24" t="s">
        <v>82</v>
      </c>
      <c r="F1" s="25" t="s">
        <v>118</v>
      </c>
      <c r="G1" s="24" t="s">
        <v>119</v>
      </c>
      <c r="H1" s="24" t="s">
        <v>120</v>
      </c>
      <c r="K1" s="55" t="s">
        <v>121</v>
      </c>
      <c r="L1" s="55" t="s">
        <v>119</v>
      </c>
      <c r="M1" s="55" t="s">
        <v>120</v>
      </c>
    </row>
    <row r="2" spans="1:15">
      <c r="A2" s="23">
        <v>43739</v>
      </c>
      <c r="B2" s="1" t="s">
        <v>122</v>
      </c>
      <c r="C2" s="1" t="s">
        <v>119</v>
      </c>
      <c r="D2" s="1">
        <v>5000</v>
      </c>
      <c r="F2" s="1" t="s">
        <v>122</v>
      </c>
      <c r="G2" s="1">
        <f>SUMIFS($D$2:$D$13,$B$2:$B$13,$F2,$C$2:$C$13,G$1)</f>
        <v>9500</v>
      </c>
      <c r="H2" s="1">
        <f>SUMIFS($D$2:$D$13,$B$2:$B$13,$F2,$C$2:$C$13,H$1)</f>
        <v>5150</v>
      </c>
      <c r="K2" t="s">
        <v>122</v>
      </c>
      <c r="L2">
        <f>SUMIFS($D$2:$D$13,$B$2:$B$13,$K2,$C$2:$C$13,L$1)</f>
        <v>9500</v>
      </c>
      <c r="M2">
        <f>SUMIFS($D$2:$D$13,$B$2:$B$13,$K2,$C$2:$C$13,M$1)</f>
        <v>5150</v>
      </c>
      <c r="O2" t="s">
        <v>123</v>
      </c>
    </row>
    <row r="3" spans="1:15">
      <c r="A3" s="23">
        <v>43740</v>
      </c>
      <c r="B3" s="1" t="s">
        <v>124</v>
      </c>
      <c r="C3" s="1" t="s">
        <v>120</v>
      </c>
      <c r="D3" s="1">
        <v>6000</v>
      </c>
      <c r="F3" s="1" t="s">
        <v>124</v>
      </c>
      <c r="G3" s="1">
        <f t="shared" ref="G3:H4" si="0">SUMIFS($D$2:$D$13,$B$2:$B$13,$F3,$C$2:$C$13,G$1)</f>
        <v>6500</v>
      </c>
      <c r="H3" s="1">
        <f>SUMIFS($D$2:$D$13,$B$2:$B$13,$F3,$C$2:$C$13,H$1)</f>
        <v>11100</v>
      </c>
      <c r="K3" t="s">
        <v>124</v>
      </c>
      <c r="L3">
        <f>SUMIFS($D$2:$D$13,$B$2:$B$13,$K3,$C$2:$C$13,L$1)</f>
        <v>6500</v>
      </c>
      <c r="M3">
        <f>SUMIFS($D$2:$D$13,$B$2:$B$13,$K3,$C$2:$C$13,M$1)</f>
        <v>11100</v>
      </c>
    </row>
    <row r="4" spans="1:15">
      <c r="A4" s="23">
        <v>43741</v>
      </c>
      <c r="B4" s="1" t="s">
        <v>122</v>
      </c>
      <c r="C4" s="1" t="s">
        <v>119</v>
      </c>
      <c r="D4" s="1">
        <v>4500</v>
      </c>
      <c r="F4" s="1" t="s">
        <v>125</v>
      </c>
      <c r="G4" s="1">
        <f t="shared" si="0"/>
        <v>11510</v>
      </c>
      <c r="H4" s="1">
        <f t="shared" si="0"/>
        <v>0</v>
      </c>
      <c r="K4" t="s">
        <v>126</v>
      </c>
      <c r="L4">
        <f>SUMIFS($D$2:$D$13,$B$2:$B$13,$K4,$C$2:$C$13,L$1)</f>
        <v>11510</v>
      </c>
      <c r="M4">
        <f>SUMIFS($D$2:$D$13,$B$2:$B$13,$K4,$C$2:$C$13,M$1)</f>
        <v>0</v>
      </c>
    </row>
    <row r="5" spans="1:15">
      <c r="A5" s="23">
        <v>43742</v>
      </c>
      <c r="B5" s="1" t="s">
        <v>124</v>
      </c>
      <c r="C5" s="1" t="s">
        <v>119</v>
      </c>
      <c r="D5" s="1">
        <v>6500</v>
      </c>
    </row>
    <row r="6" spans="1:15">
      <c r="A6" s="23">
        <v>43743</v>
      </c>
      <c r="B6" s="1" t="s">
        <v>122</v>
      </c>
      <c r="C6" s="1" t="s">
        <v>120</v>
      </c>
      <c r="D6" s="1">
        <v>4500</v>
      </c>
    </row>
    <row r="7" spans="1:15">
      <c r="A7" s="23">
        <v>43744</v>
      </c>
      <c r="B7" s="1" t="s">
        <v>126</v>
      </c>
      <c r="C7" s="1" t="s">
        <v>119</v>
      </c>
      <c r="D7" s="1">
        <v>6000</v>
      </c>
      <c r="K7" t="s">
        <v>127</v>
      </c>
    </row>
    <row r="8" spans="1:15">
      <c r="A8" s="23">
        <v>43745</v>
      </c>
      <c r="B8" s="1" t="s">
        <v>124</v>
      </c>
      <c r="C8" s="1" t="s">
        <v>120</v>
      </c>
      <c r="D8" s="1">
        <v>4500</v>
      </c>
    </row>
    <row r="9" spans="1:15">
      <c r="A9" s="23">
        <v>43746</v>
      </c>
      <c r="B9" s="1" t="s">
        <v>124</v>
      </c>
      <c r="C9" s="1" t="s">
        <v>120</v>
      </c>
      <c r="D9" s="1">
        <v>600</v>
      </c>
    </row>
    <row r="10" spans="1:15">
      <c r="A10" s="23">
        <v>43747</v>
      </c>
      <c r="B10" s="1" t="s">
        <v>126</v>
      </c>
      <c r="C10" s="1" t="s">
        <v>119</v>
      </c>
      <c r="D10" s="1">
        <v>1500</v>
      </c>
    </row>
    <row r="11" spans="1:15">
      <c r="A11" s="23">
        <v>43748</v>
      </c>
      <c r="B11" s="1" t="s">
        <v>126</v>
      </c>
      <c r="C11" s="1" t="s">
        <v>119</v>
      </c>
      <c r="D11" s="1">
        <v>1450</v>
      </c>
    </row>
    <row r="12" spans="1:15">
      <c r="A12" s="23">
        <v>43749</v>
      </c>
      <c r="B12" s="1" t="s">
        <v>122</v>
      </c>
      <c r="C12" s="1" t="s">
        <v>120</v>
      </c>
      <c r="D12" s="1">
        <v>650</v>
      </c>
    </row>
    <row r="13" spans="1:15">
      <c r="A13" s="23">
        <v>43750</v>
      </c>
      <c r="B13" s="1" t="s">
        <v>126</v>
      </c>
      <c r="C13" s="1" t="s">
        <v>119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3"/>
  <sheetViews>
    <sheetView zoomScale="200" zoomScaleNormal="200" workbookViewId="0">
      <selection activeCell="L4" sqref="L4"/>
    </sheetView>
  </sheetViews>
  <sheetFormatPr defaultRowHeight="14.45"/>
  <cols>
    <col min="1" max="1" width="10.42578125" bestFit="1" customWidth="1"/>
    <col min="2" max="2" width="14" bestFit="1" customWidth="1"/>
    <col min="3" max="3" width="11.5703125" customWidth="1"/>
    <col min="6" max="7" width="10.28515625" bestFit="1" customWidth="1"/>
    <col min="11" max="11" width="10.42578125" bestFit="1" customWidth="1"/>
  </cols>
  <sheetData>
    <row r="1" spans="1:12">
      <c r="A1" s="24" t="s">
        <v>115</v>
      </c>
      <c r="B1" s="24" t="s">
        <v>116</v>
      </c>
      <c r="C1" s="24" t="s">
        <v>117</v>
      </c>
      <c r="D1" s="24" t="s">
        <v>82</v>
      </c>
      <c r="F1" s="25" t="s">
        <v>118</v>
      </c>
      <c r="G1" s="24" t="s">
        <v>128</v>
      </c>
      <c r="H1" s="24"/>
      <c r="K1" s="55" t="s">
        <v>121</v>
      </c>
      <c r="L1" s="55" t="s">
        <v>129</v>
      </c>
    </row>
    <row r="2" spans="1:12">
      <c r="A2" s="23">
        <v>43739</v>
      </c>
      <c r="B2" s="1" t="s">
        <v>122</v>
      </c>
      <c r="C2" s="1" t="s">
        <v>119</v>
      </c>
      <c r="D2" s="1">
        <v>5000</v>
      </c>
      <c r="F2" s="1" t="s">
        <v>122</v>
      </c>
      <c r="G2" s="1">
        <f>COUNTIF($B$2:$B$13,F2)</f>
        <v>4</v>
      </c>
      <c r="H2" s="1"/>
      <c r="K2" s="56" t="s">
        <v>122</v>
      </c>
      <c r="L2">
        <f>COUNTIF($B$2:$B$13,$K2)</f>
        <v>4</v>
      </c>
    </row>
    <row r="3" spans="1:12">
      <c r="A3" s="23">
        <v>43740</v>
      </c>
      <c r="B3" s="1" t="s">
        <v>124</v>
      </c>
      <c r="C3" s="1" t="s">
        <v>120</v>
      </c>
      <c r="D3" s="1">
        <v>6000</v>
      </c>
      <c r="F3" s="1" t="s">
        <v>124</v>
      </c>
      <c r="G3" s="1">
        <f t="shared" ref="G3:G4" si="0">COUNTIF($B$2:$B$13,F3)</f>
        <v>4</v>
      </c>
      <c r="H3" s="1"/>
      <c r="K3" s="56" t="s">
        <v>124</v>
      </c>
      <c r="L3">
        <f>COUNTIF($B$2:$B$13,$K3)</f>
        <v>4</v>
      </c>
    </row>
    <row r="4" spans="1:12">
      <c r="A4" s="23">
        <v>43741</v>
      </c>
      <c r="B4" s="1" t="s">
        <v>122</v>
      </c>
      <c r="C4" s="1" t="s">
        <v>119</v>
      </c>
      <c r="D4" s="1">
        <v>4500</v>
      </c>
      <c r="F4" s="1" t="s">
        <v>125</v>
      </c>
      <c r="G4" s="1">
        <f t="shared" si="0"/>
        <v>4</v>
      </c>
      <c r="H4" s="1"/>
      <c r="K4" s="56" t="s">
        <v>126</v>
      </c>
      <c r="L4">
        <f>COUNTIF($B$2:$B$13,$K4)</f>
        <v>4</v>
      </c>
    </row>
    <row r="5" spans="1:12">
      <c r="A5" s="23">
        <v>43742</v>
      </c>
      <c r="B5" s="1" t="s">
        <v>124</v>
      </c>
      <c r="C5" s="1" t="s">
        <v>119</v>
      </c>
      <c r="D5" s="1">
        <v>6500</v>
      </c>
    </row>
    <row r="6" spans="1:12">
      <c r="A6" s="23">
        <v>43743</v>
      </c>
      <c r="B6" s="1" t="s">
        <v>122</v>
      </c>
      <c r="C6" s="1" t="s">
        <v>120</v>
      </c>
      <c r="D6" s="1">
        <v>4500</v>
      </c>
    </row>
    <row r="7" spans="1:12">
      <c r="A7" s="23">
        <v>43744</v>
      </c>
      <c r="B7" s="1" t="s">
        <v>126</v>
      </c>
      <c r="C7" s="1" t="s">
        <v>119</v>
      </c>
      <c r="D7" s="1">
        <v>6000</v>
      </c>
    </row>
    <row r="8" spans="1:12">
      <c r="A8" s="23">
        <v>43745</v>
      </c>
      <c r="B8" s="1" t="s">
        <v>124</v>
      </c>
      <c r="C8" s="1" t="s">
        <v>120</v>
      </c>
      <c r="D8" s="1">
        <v>4500</v>
      </c>
    </row>
    <row r="9" spans="1:12">
      <c r="A9" s="23">
        <v>43746</v>
      </c>
      <c r="B9" s="1" t="s">
        <v>124</v>
      </c>
      <c r="C9" s="1" t="s">
        <v>120</v>
      </c>
      <c r="D9" s="1">
        <v>600</v>
      </c>
    </row>
    <row r="10" spans="1:12">
      <c r="A10" s="23">
        <v>43747</v>
      </c>
      <c r="B10" s="1" t="s">
        <v>126</v>
      </c>
      <c r="C10" s="1" t="s">
        <v>119</v>
      </c>
      <c r="D10" s="1">
        <v>1500</v>
      </c>
    </row>
    <row r="11" spans="1:12">
      <c r="A11" s="23">
        <v>43748</v>
      </c>
      <c r="B11" s="1" t="s">
        <v>126</v>
      </c>
      <c r="C11" s="1" t="s">
        <v>119</v>
      </c>
      <c r="D11" s="1">
        <v>1450</v>
      </c>
    </row>
    <row r="12" spans="1:12">
      <c r="A12" s="23">
        <v>43749</v>
      </c>
      <c r="B12" s="1" t="s">
        <v>122</v>
      </c>
      <c r="C12" s="1" t="s">
        <v>120</v>
      </c>
      <c r="D12" s="1">
        <v>650</v>
      </c>
    </row>
    <row r="13" spans="1:12">
      <c r="A13" s="23">
        <v>43750</v>
      </c>
      <c r="B13" s="1" t="s">
        <v>126</v>
      </c>
      <c r="C13" s="1" t="s">
        <v>119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3"/>
  <sheetViews>
    <sheetView zoomScale="200" zoomScaleNormal="200" workbookViewId="0">
      <selection activeCell="L2" sqref="L2:M4"/>
    </sheetView>
  </sheetViews>
  <sheetFormatPr defaultRowHeight="14.4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  <col min="11" max="11" width="10.42578125" bestFit="1" customWidth="1"/>
  </cols>
  <sheetData>
    <row r="1" spans="1:13">
      <c r="A1" s="24" t="s">
        <v>115</v>
      </c>
      <c r="B1" s="24" t="s">
        <v>116</v>
      </c>
      <c r="C1" s="24" t="s">
        <v>117</v>
      </c>
      <c r="D1" s="24" t="s">
        <v>82</v>
      </c>
      <c r="F1" s="25" t="s">
        <v>118</v>
      </c>
      <c r="G1" s="24" t="s">
        <v>119</v>
      </c>
      <c r="H1" s="24" t="s">
        <v>120</v>
      </c>
      <c r="K1" s="56" t="s">
        <v>130</v>
      </c>
      <c r="L1" s="56" t="s">
        <v>119</v>
      </c>
      <c r="M1" s="56" t="s">
        <v>120</v>
      </c>
    </row>
    <row r="2" spans="1:13">
      <c r="A2" s="23">
        <v>43739</v>
      </c>
      <c r="B2" s="1" t="s">
        <v>122</v>
      </c>
      <c r="C2" s="1" t="s">
        <v>119</v>
      </c>
      <c r="D2" s="1">
        <v>5000</v>
      </c>
      <c r="F2" s="1" t="s">
        <v>122</v>
      </c>
      <c r="G2" s="1">
        <f>COUNTIFS($B$2:$B$13,$F2,$C$2:$C$13,G$1)</f>
        <v>2</v>
      </c>
      <c r="H2" s="1">
        <f>COUNTIFS($B$2:$B$13,$F2,$C$2:$C$13,H$1)</f>
        <v>2</v>
      </c>
      <c r="K2" s="56" t="s">
        <v>122</v>
      </c>
      <c r="L2">
        <f>COUNTIFS($B$2:$B$13,$K2,$C$2:$C$13,L$1)</f>
        <v>2</v>
      </c>
      <c r="M2">
        <f>COUNTIFS($B$2:$B$13,$K2,$C$2:$C$13,M$1)</f>
        <v>2</v>
      </c>
    </row>
    <row r="3" spans="1:13">
      <c r="A3" s="23">
        <v>43740</v>
      </c>
      <c r="B3" s="1" t="s">
        <v>124</v>
      </c>
      <c r="C3" s="1" t="s">
        <v>120</v>
      </c>
      <c r="D3" s="1">
        <v>6000</v>
      </c>
      <c r="F3" s="1" t="s">
        <v>124</v>
      </c>
      <c r="G3" s="1">
        <f t="shared" ref="G3:H4" si="0">COUNTIFS($B$2:$B$13,$F3,$C$2:$C$13,G$1)</f>
        <v>1</v>
      </c>
      <c r="H3" s="1">
        <f t="shared" si="0"/>
        <v>3</v>
      </c>
      <c r="K3" s="56" t="s">
        <v>124</v>
      </c>
      <c r="L3">
        <f t="shared" ref="L3:M4" si="1">COUNTIFS($B$2:$B$13,$K3,$C$2:$C$13,L$1)</f>
        <v>1</v>
      </c>
      <c r="M3">
        <f t="shared" si="1"/>
        <v>3</v>
      </c>
    </row>
    <row r="4" spans="1:13">
      <c r="A4" s="23">
        <v>43741</v>
      </c>
      <c r="B4" s="1" t="s">
        <v>122</v>
      </c>
      <c r="C4" s="1" t="s">
        <v>119</v>
      </c>
      <c r="D4" s="1">
        <v>4500</v>
      </c>
      <c r="F4" s="1" t="s">
        <v>125</v>
      </c>
      <c r="G4" s="1">
        <f t="shared" si="0"/>
        <v>4</v>
      </c>
      <c r="H4" s="1">
        <f t="shared" si="0"/>
        <v>0</v>
      </c>
      <c r="K4" s="56" t="s">
        <v>126</v>
      </c>
      <c r="L4">
        <f t="shared" si="1"/>
        <v>4</v>
      </c>
      <c r="M4">
        <f t="shared" si="1"/>
        <v>0</v>
      </c>
    </row>
    <row r="5" spans="1:13">
      <c r="A5" s="23">
        <v>43742</v>
      </c>
      <c r="B5" s="1" t="s">
        <v>124</v>
      </c>
      <c r="C5" s="1" t="s">
        <v>119</v>
      </c>
      <c r="D5" s="1">
        <v>6500</v>
      </c>
    </row>
    <row r="6" spans="1:13">
      <c r="A6" s="23">
        <v>43743</v>
      </c>
      <c r="B6" s="1" t="s">
        <v>122</v>
      </c>
      <c r="C6" s="1" t="s">
        <v>120</v>
      </c>
      <c r="D6" s="1">
        <v>4500</v>
      </c>
    </row>
    <row r="7" spans="1:13">
      <c r="A7" s="23">
        <v>43744</v>
      </c>
      <c r="B7" s="1" t="s">
        <v>126</v>
      </c>
      <c r="C7" s="1" t="s">
        <v>119</v>
      </c>
      <c r="D7" s="1">
        <v>6000</v>
      </c>
    </row>
    <row r="8" spans="1:13">
      <c r="A8" s="23">
        <v>43745</v>
      </c>
      <c r="B8" s="1" t="s">
        <v>124</v>
      </c>
      <c r="C8" s="1" t="s">
        <v>120</v>
      </c>
      <c r="D8" s="1">
        <v>4500</v>
      </c>
    </row>
    <row r="9" spans="1:13">
      <c r="A9" s="23">
        <v>43746</v>
      </c>
      <c r="B9" s="1" t="s">
        <v>124</v>
      </c>
      <c r="C9" s="1" t="s">
        <v>120</v>
      </c>
      <c r="D9" s="1">
        <v>600</v>
      </c>
    </row>
    <row r="10" spans="1:13">
      <c r="A10" s="23">
        <v>43747</v>
      </c>
      <c r="B10" s="1" t="s">
        <v>126</v>
      </c>
      <c r="C10" s="1" t="s">
        <v>119</v>
      </c>
      <c r="D10" s="1">
        <v>1500</v>
      </c>
    </row>
    <row r="11" spans="1:13">
      <c r="A11" s="23">
        <v>43748</v>
      </c>
      <c r="B11" s="1" t="s">
        <v>126</v>
      </c>
      <c r="C11" s="1" t="s">
        <v>119</v>
      </c>
      <c r="D11" s="1">
        <v>1450</v>
      </c>
    </row>
    <row r="12" spans="1:13">
      <c r="A12" s="23">
        <v>43749</v>
      </c>
      <c r="B12" s="1" t="s">
        <v>122</v>
      </c>
      <c r="C12" s="1" t="s">
        <v>120</v>
      </c>
      <c r="D12" s="1">
        <v>650</v>
      </c>
    </row>
    <row r="13" spans="1:13">
      <c r="A13" s="23">
        <v>43750</v>
      </c>
      <c r="B13" s="1" t="s">
        <v>126</v>
      </c>
      <c r="C13" s="1" t="s">
        <v>119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AW15"/>
  <sheetViews>
    <sheetView topLeftCell="T2" zoomScale="200" zoomScaleNormal="200" workbookViewId="0">
      <selection activeCell="AV18" sqref="AV18"/>
    </sheetView>
  </sheetViews>
  <sheetFormatPr defaultRowHeight="14.45"/>
  <cols>
    <col min="1" max="1" width="10.42578125" bestFit="1" customWidth="1"/>
    <col min="2" max="2" width="14" bestFit="1" customWidth="1"/>
    <col min="3" max="21" width="2.7109375" customWidth="1"/>
    <col min="23" max="23" width="9.28515625" customWidth="1"/>
    <col min="27" max="30" width="3" bestFit="1" customWidth="1"/>
    <col min="31" max="34" width="2.140625" bestFit="1" customWidth="1"/>
    <col min="35" max="41" width="3" bestFit="1" customWidth="1"/>
    <col min="42" max="42" width="2.140625" bestFit="1" customWidth="1"/>
    <col min="43" max="45" width="3" bestFit="1" customWidth="1"/>
  </cols>
  <sheetData>
    <row r="1" spans="3:49" ht="15" thickBot="1"/>
    <row r="2" spans="3:49" ht="15" thickBot="1">
      <c r="C2" s="72" t="s">
        <v>131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4"/>
    </row>
    <row r="3" spans="3:49">
      <c r="C3" s="26" t="s">
        <v>132</v>
      </c>
      <c r="D3" s="26" t="s">
        <v>132</v>
      </c>
      <c r="E3" s="26" t="s">
        <v>132</v>
      </c>
      <c r="F3" s="26" t="s">
        <v>132</v>
      </c>
      <c r="G3" s="26" t="s">
        <v>132</v>
      </c>
      <c r="H3" s="26" t="s">
        <v>132</v>
      </c>
      <c r="I3" s="26" t="s">
        <v>132</v>
      </c>
      <c r="J3" s="26" t="s">
        <v>132</v>
      </c>
      <c r="K3" s="26" t="s">
        <v>132</v>
      </c>
      <c r="L3" s="26" t="s">
        <v>132</v>
      </c>
      <c r="M3" s="26" t="s">
        <v>132</v>
      </c>
      <c r="N3" s="26" t="s">
        <v>132</v>
      </c>
      <c r="O3" s="26" t="s">
        <v>132</v>
      </c>
      <c r="P3" s="26" t="s">
        <v>132</v>
      </c>
      <c r="Q3" s="26" t="s">
        <v>132</v>
      </c>
      <c r="R3" s="26" t="s">
        <v>132</v>
      </c>
      <c r="S3" s="26" t="s">
        <v>132</v>
      </c>
      <c r="T3" s="26" t="s">
        <v>132</v>
      </c>
      <c r="U3" s="26" t="s">
        <v>132</v>
      </c>
      <c r="W3" t="s">
        <v>133</v>
      </c>
      <c r="X3">
        <f>COUNTA(C3:U15)</f>
        <v>136</v>
      </c>
      <c r="AA3" t="s">
        <v>132</v>
      </c>
      <c r="AB3" t="s">
        <v>132</v>
      </c>
      <c r="AC3" t="s">
        <v>132</v>
      </c>
      <c r="AD3" t="s">
        <v>132</v>
      </c>
      <c r="AE3" t="s">
        <v>132</v>
      </c>
      <c r="AF3" t="s">
        <v>132</v>
      </c>
      <c r="AG3" t="s">
        <v>132</v>
      </c>
      <c r="AH3" t="s">
        <v>132</v>
      </c>
      <c r="AI3" t="s">
        <v>132</v>
      </c>
      <c r="AJ3" t="s">
        <v>132</v>
      </c>
      <c r="AK3" t="s">
        <v>132</v>
      </c>
      <c r="AL3" t="s">
        <v>132</v>
      </c>
      <c r="AM3" t="s">
        <v>132</v>
      </c>
      <c r="AN3" t="s">
        <v>132</v>
      </c>
      <c r="AO3" t="s">
        <v>132</v>
      </c>
      <c r="AP3" t="s">
        <v>132</v>
      </c>
      <c r="AQ3" t="s">
        <v>132</v>
      </c>
      <c r="AR3" t="s">
        <v>132</v>
      </c>
      <c r="AS3" t="s">
        <v>132</v>
      </c>
    </row>
    <row r="4" spans="3:49">
      <c r="C4" s="1" t="s">
        <v>134</v>
      </c>
      <c r="D4" s="1" t="s">
        <v>134</v>
      </c>
      <c r="E4" s="1" t="s">
        <v>134</v>
      </c>
      <c r="F4" s="1" t="s">
        <v>134</v>
      </c>
      <c r="G4" s="1"/>
      <c r="H4" s="1"/>
      <c r="I4" s="1"/>
      <c r="J4" s="1"/>
      <c r="K4" s="1" t="s">
        <v>134</v>
      </c>
      <c r="L4" s="1" t="s">
        <v>134</v>
      </c>
      <c r="M4" s="1" t="s">
        <v>134</v>
      </c>
      <c r="N4" s="1"/>
      <c r="O4" s="1"/>
      <c r="P4" s="1"/>
      <c r="Q4" s="1"/>
      <c r="R4" s="1"/>
      <c r="S4" s="1" t="s">
        <v>134</v>
      </c>
      <c r="T4" s="1" t="s">
        <v>134</v>
      </c>
      <c r="U4" s="1" t="s">
        <v>134</v>
      </c>
      <c r="W4" t="s">
        <v>135</v>
      </c>
      <c r="X4">
        <f>COUNTBLANK(C3:U15)</f>
        <v>111</v>
      </c>
      <c r="AA4" t="s">
        <v>134</v>
      </c>
      <c r="AB4" t="s">
        <v>134</v>
      </c>
      <c r="AC4" t="s">
        <v>134</v>
      </c>
      <c r="AD4" t="s">
        <v>134</v>
      </c>
      <c r="AI4" t="s">
        <v>134</v>
      </c>
      <c r="AJ4" t="s">
        <v>134</v>
      </c>
      <c r="AK4" t="s">
        <v>134</v>
      </c>
      <c r="AL4" t="s">
        <v>134</v>
      </c>
      <c r="AQ4" t="s">
        <v>134</v>
      </c>
      <c r="AR4" t="s">
        <v>134</v>
      </c>
      <c r="AS4" t="s">
        <v>134</v>
      </c>
      <c r="AV4" t="s">
        <v>133</v>
      </c>
      <c r="AW4">
        <f>COUNTA(AA3:AS15)</f>
        <v>137</v>
      </c>
    </row>
    <row r="5" spans="3:49">
      <c r="C5" s="1" t="s">
        <v>132</v>
      </c>
      <c r="D5" s="1" t="s">
        <v>132</v>
      </c>
      <c r="E5" s="1" t="s">
        <v>132</v>
      </c>
      <c r="F5" s="1" t="s">
        <v>132</v>
      </c>
      <c r="G5" s="1"/>
      <c r="H5" s="1"/>
      <c r="I5" s="1"/>
      <c r="J5" s="1"/>
      <c r="K5" s="1" t="s">
        <v>132</v>
      </c>
      <c r="L5" s="1" t="s">
        <v>132</v>
      </c>
      <c r="M5" s="1" t="s">
        <v>132</v>
      </c>
      <c r="N5" s="1"/>
      <c r="O5" s="1" t="s">
        <v>134</v>
      </c>
      <c r="P5" s="1"/>
      <c r="Q5" s="1"/>
      <c r="R5" s="1"/>
      <c r="S5" s="1" t="s">
        <v>132</v>
      </c>
      <c r="T5" s="1" t="s">
        <v>132</v>
      </c>
      <c r="U5" s="1" t="s">
        <v>132</v>
      </c>
      <c r="AA5" t="s">
        <v>132</v>
      </c>
      <c r="AB5" t="s">
        <v>132</v>
      </c>
      <c r="AC5" t="s">
        <v>132</v>
      </c>
      <c r="AD5" t="s">
        <v>132</v>
      </c>
      <c r="AI5" t="s">
        <v>132</v>
      </c>
      <c r="AJ5" t="s">
        <v>132</v>
      </c>
      <c r="AK5" t="s">
        <v>132</v>
      </c>
      <c r="AM5" t="s">
        <v>134</v>
      </c>
      <c r="AQ5" t="s">
        <v>132</v>
      </c>
      <c r="AR5" t="s">
        <v>132</v>
      </c>
      <c r="AS5" t="s">
        <v>132</v>
      </c>
      <c r="AV5" t="s">
        <v>135</v>
      </c>
      <c r="AW5">
        <f>COUNTBLANK(AA3:AS15)</f>
        <v>110</v>
      </c>
    </row>
    <row r="6" spans="3:49">
      <c r="C6" s="1" t="s">
        <v>134</v>
      </c>
      <c r="D6" s="1" t="s">
        <v>134</v>
      </c>
      <c r="E6" s="1" t="s">
        <v>134</v>
      </c>
      <c r="F6" s="1" t="s">
        <v>134</v>
      </c>
      <c r="G6" s="1"/>
      <c r="H6" s="1"/>
      <c r="I6" s="1"/>
      <c r="J6" s="1"/>
      <c r="K6" s="1" t="s">
        <v>134</v>
      </c>
      <c r="L6" s="1" t="s">
        <v>134</v>
      </c>
      <c r="M6" s="1" t="s">
        <v>134</v>
      </c>
      <c r="N6" s="1"/>
      <c r="O6" s="1" t="s">
        <v>132</v>
      </c>
      <c r="P6" s="1"/>
      <c r="Q6" s="1" t="s">
        <v>134</v>
      </c>
      <c r="R6" s="1"/>
      <c r="S6" s="1"/>
      <c r="T6" s="1" t="s">
        <v>134</v>
      </c>
      <c r="U6" s="1" t="s">
        <v>134</v>
      </c>
      <c r="W6" t="s">
        <v>136</v>
      </c>
      <c r="X6">
        <f>COUNTIF(C3:U15,"M")</f>
        <v>55</v>
      </c>
      <c r="AA6" t="s">
        <v>134</v>
      </c>
      <c r="AB6" t="s">
        <v>134</v>
      </c>
      <c r="AC6" t="s">
        <v>134</v>
      </c>
      <c r="AD6" t="s">
        <v>134</v>
      </c>
      <c r="AI6" t="s">
        <v>134</v>
      </c>
      <c r="AJ6" t="s">
        <v>134</v>
      </c>
      <c r="AK6" t="s">
        <v>134</v>
      </c>
      <c r="AM6" t="s">
        <v>132</v>
      </c>
      <c r="AO6" t="s">
        <v>134</v>
      </c>
      <c r="AR6" t="s">
        <v>134</v>
      </c>
      <c r="AS6" t="s">
        <v>134</v>
      </c>
    </row>
    <row r="7" spans="3:49">
      <c r="C7" s="1" t="s">
        <v>132</v>
      </c>
      <c r="D7" s="1" t="s">
        <v>132</v>
      </c>
      <c r="E7" s="1" t="s">
        <v>132</v>
      </c>
      <c r="F7" s="1" t="s">
        <v>132</v>
      </c>
      <c r="G7" s="1"/>
      <c r="H7" s="1"/>
      <c r="I7" s="1"/>
      <c r="J7" s="1"/>
      <c r="K7" s="1" t="s">
        <v>132</v>
      </c>
      <c r="L7" s="1"/>
      <c r="M7" s="1"/>
      <c r="N7" s="1"/>
      <c r="O7" s="1"/>
      <c r="P7" s="1"/>
      <c r="Q7" s="1" t="s">
        <v>132</v>
      </c>
      <c r="R7" s="1"/>
      <c r="S7" s="1"/>
      <c r="T7" s="1" t="s">
        <v>132</v>
      </c>
      <c r="U7" s="1" t="s">
        <v>132</v>
      </c>
      <c r="W7" t="s">
        <v>137</v>
      </c>
      <c r="X7">
        <f>COUNTIF(C3:U15,"F")</f>
        <v>81</v>
      </c>
      <c r="AA7" t="s">
        <v>132</v>
      </c>
      <c r="AB7" t="s">
        <v>132</v>
      </c>
      <c r="AC7" t="s">
        <v>132</v>
      </c>
      <c r="AD7" t="s">
        <v>132</v>
      </c>
      <c r="AI7" t="s">
        <v>132</v>
      </c>
      <c r="AO7" t="s">
        <v>132</v>
      </c>
      <c r="AR7" t="s">
        <v>132</v>
      </c>
      <c r="AS7" t="s">
        <v>132</v>
      </c>
      <c r="AV7" t="s">
        <v>136</v>
      </c>
      <c r="AW7">
        <f>COUNTIF(AA3:AS15,"M")</f>
        <v>56</v>
      </c>
    </row>
    <row r="8" spans="3:49">
      <c r="C8" s="1" t="s">
        <v>132</v>
      </c>
      <c r="D8" s="1" t="s">
        <v>132</v>
      </c>
      <c r="E8" s="1" t="s">
        <v>132</v>
      </c>
      <c r="F8" s="1" t="s">
        <v>132</v>
      </c>
      <c r="G8" s="1" t="s">
        <v>132</v>
      </c>
      <c r="H8" s="1" t="s">
        <v>132</v>
      </c>
      <c r="I8" s="1" t="s">
        <v>132</v>
      </c>
      <c r="J8" s="1" t="s">
        <v>132</v>
      </c>
      <c r="K8" s="1" t="s">
        <v>132</v>
      </c>
      <c r="L8" s="1"/>
      <c r="M8" s="1"/>
      <c r="N8" s="1"/>
      <c r="O8" s="1"/>
      <c r="P8" s="1" t="s">
        <v>132</v>
      </c>
      <c r="Q8" s="1" t="s">
        <v>132</v>
      </c>
      <c r="R8" s="1"/>
      <c r="S8" s="1"/>
      <c r="T8" s="1" t="s">
        <v>132</v>
      </c>
      <c r="U8" s="1" t="s">
        <v>132</v>
      </c>
      <c r="AA8" t="s">
        <v>132</v>
      </c>
      <c r="AB8" t="s">
        <v>132</v>
      </c>
      <c r="AC8" t="s">
        <v>132</v>
      </c>
      <c r="AD8" t="s">
        <v>132</v>
      </c>
      <c r="AE8" t="s">
        <v>132</v>
      </c>
      <c r="AF8" t="s">
        <v>132</v>
      </c>
      <c r="AG8" t="s">
        <v>132</v>
      </c>
      <c r="AH8" t="s">
        <v>132</v>
      </c>
      <c r="AI8" t="s">
        <v>132</v>
      </c>
      <c r="AN8" t="s">
        <v>132</v>
      </c>
      <c r="AO8" t="s">
        <v>132</v>
      </c>
      <c r="AR8" t="s">
        <v>132</v>
      </c>
      <c r="AS8" t="s">
        <v>132</v>
      </c>
      <c r="AV8" t="s">
        <v>137</v>
      </c>
      <c r="AW8">
        <f>COUNTIF(AA3:AS15, "F")</f>
        <v>81</v>
      </c>
    </row>
    <row r="9" spans="3:49">
      <c r="C9" s="1" t="s">
        <v>132</v>
      </c>
      <c r="D9" s="1" t="s">
        <v>132</v>
      </c>
      <c r="E9" s="1" t="s">
        <v>132</v>
      </c>
      <c r="F9" s="1" t="s">
        <v>132</v>
      </c>
      <c r="G9" s="1" t="s">
        <v>132</v>
      </c>
      <c r="H9" s="1" t="s">
        <v>132</v>
      </c>
      <c r="I9" s="1" t="s">
        <v>132</v>
      </c>
      <c r="J9" s="1" t="s">
        <v>132</v>
      </c>
      <c r="K9" s="1" t="s">
        <v>132</v>
      </c>
      <c r="L9" s="1"/>
      <c r="M9" s="1"/>
      <c r="N9" s="1"/>
      <c r="O9" s="1"/>
      <c r="P9" s="1" t="s">
        <v>132</v>
      </c>
      <c r="Q9" s="1" t="s">
        <v>132</v>
      </c>
      <c r="R9" s="1"/>
      <c r="S9" s="1"/>
      <c r="T9" s="1" t="s">
        <v>132</v>
      </c>
      <c r="U9" s="1" t="s">
        <v>132</v>
      </c>
      <c r="AA9" t="s">
        <v>132</v>
      </c>
      <c r="AB9" t="s">
        <v>132</v>
      </c>
      <c r="AC9" t="s">
        <v>132</v>
      </c>
      <c r="AD9" t="s">
        <v>132</v>
      </c>
      <c r="AE9" t="s">
        <v>132</v>
      </c>
      <c r="AF9" t="s">
        <v>132</v>
      </c>
      <c r="AG9" t="s">
        <v>132</v>
      </c>
      <c r="AH9" t="s">
        <v>132</v>
      </c>
      <c r="AI9" t="s">
        <v>132</v>
      </c>
      <c r="AN9" t="s">
        <v>132</v>
      </c>
      <c r="AO9" t="s">
        <v>132</v>
      </c>
      <c r="AR9" t="s">
        <v>132</v>
      </c>
      <c r="AS9" t="s">
        <v>132</v>
      </c>
    </row>
    <row r="10" spans="3:49">
      <c r="C10" s="1" t="s">
        <v>132</v>
      </c>
      <c r="D10" s="1" t="s">
        <v>132</v>
      </c>
      <c r="E10" s="1" t="s">
        <v>132</v>
      </c>
      <c r="F10" s="1" t="s">
        <v>132</v>
      </c>
      <c r="G10" s="1" t="s">
        <v>132</v>
      </c>
      <c r="H10" s="1" t="s">
        <v>132</v>
      </c>
      <c r="I10" s="1" t="s">
        <v>132</v>
      </c>
      <c r="J10" s="1" t="s">
        <v>132</v>
      </c>
      <c r="K10" s="1" t="s">
        <v>132</v>
      </c>
      <c r="L10" s="1" t="s">
        <v>132</v>
      </c>
      <c r="M10" s="1" t="s">
        <v>132</v>
      </c>
      <c r="N10" s="1" t="s">
        <v>132</v>
      </c>
      <c r="O10" s="1" t="s">
        <v>132</v>
      </c>
      <c r="P10" s="1" t="s">
        <v>132</v>
      </c>
      <c r="Q10" s="1" t="s">
        <v>132</v>
      </c>
      <c r="R10" s="1"/>
      <c r="S10" s="1"/>
      <c r="T10" s="1" t="s">
        <v>132</v>
      </c>
      <c r="U10" s="1" t="s">
        <v>132</v>
      </c>
      <c r="AA10" t="s">
        <v>132</v>
      </c>
      <c r="AB10" t="s">
        <v>132</v>
      </c>
      <c r="AC10" t="s">
        <v>132</v>
      </c>
      <c r="AD10" t="s">
        <v>132</v>
      </c>
      <c r="AE10" t="s">
        <v>132</v>
      </c>
      <c r="AF10" t="s">
        <v>132</v>
      </c>
      <c r="AG10" t="s">
        <v>132</v>
      </c>
      <c r="AH10" t="s">
        <v>132</v>
      </c>
      <c r="AI10" t="s">
        <v>132</v>
      </c>
      <c r="AJ10" t="s">
        <v>132</v>
      </c>
      <c r="AK10" t="s">
        <v>132</v>
      </c>
      <c r="AL10" t="s">
        <v>132</v>
      </c>
      <c r="AM10" t="s">
        <v>132</v>
      </c>
      <c r="AN10" t="s">
        <v>132</v>
      </c>
      <c r="AO10" t="s">
        <v>132</v>
      </c>
      <c r="AR10" t="s">
        <v>132</v>
      </c>
      <c r="AS10" t="s">
        <v>132</v>
      </c>
    </row>
    <row r="11" spans="3:49">
      <c r="C11" s="1" t="s">
        <v>134</v>
      </c>
      <c r="D11" s="1" t="s">
        <v>134</v>
      </c>
      <c r="E11" s="1"/>
      <c r="F11" s="1"/>
      <c r="G11" s="1"/>
      <c r="H11" s="1"/>
      <c r="I11" s="1"/>
      <c r="J11" s="1"/>
      <c r="K11" s="1"/>
      <c r="L11" s="1" t="s">
        <v>134</v>
      </c>
      <c r="M11" s="1" t="s">
        <v>134</v>
      </c>
      <c r="N11" s="1" t="s">
        <v>134</v>
      </c>
      <c r="O11" s="1" t="s">
        <v>134</v>
      </c>
      <c r="P11" s="1" t="s">
        <v>134</v>
      </c>
      <c r="Q11" s="1" t="s">
        <v>134</v>
      </c>
      <c r="R11" s="1"/>
      <c r="S11" s="1"/>
      <c r="T11" s="1" t="s">
        <v>134</v>
      </c>
      <c r="U11" s="1" t="s">
        <v>134</v>
      </c>
      <c r="AA11" t="s">
        <v>134</v>
      </c>
      <c r="AB11" t="s">
        <v>134</v>
      </c>
      <c r="AJ11" t="s">
        <v>134</v>
      </c>
      <c r="AK11" t="s">
        <v>134</v>
      </c>
      <c r="AL11" t="s">
        <v>134</v>
      </c>
      <c r="AM11" t="s">
        <v>134</v>
      </c>
      <c r="AN11" t="s">
        <v>134</v>
      </c>
      <c r="AO11" t="s">
        <v>134</v>
      </c>
      <c r="AR11" t="s">
        <v>134</v>
      </c>
      <c r="AS11" t="s">
        <v>134</v>
      </c>
    </row>
    <row r="12" spans="3:49">
      <c r="C12" s="1" t="s">
        <v>134</v>
      </c>
      <c r="D12" s="1" t="s">
        <v>134</v>
      </c>
      <c r="E12" s="1"/>
      <c r="F12" s="1"/>
      <c r="G12" s="1"/>
      <c r="H12" s="1"/>
      <c r="I12" s="1"/>
      <c r="J12" s="1"/>
      <c r="K12" s="1"/>
      <c r="L12" s="1" t="s">
        <v>134</v>
      </c>
      <c r="M12" s="1" t="s">
        <v>134</v>
      </c>
      <c r="N12" s="1"/>
      <c r="O12" s="1"/>
      <c r="P12" s="1"/>
      <c r="Q12" s="1"/>
      <c r="R12" s="1"/>
      <c r="S12" s="1"/>
      <c r="T12" s="1" t="s">
        <v>134</v>
      </c>
      <c r="U12" s="1" t="s">
        <v>134</v>
      </c>
      <c r="AA12" t="s">
        <v>134</v>
      </c>
      <c r="AB12" t="s">
        <v>134</v>
      </c>
      <c r="AJ12" t="s">
        <v>134</v>
      </c>
      <c r="AK12" t="s">
        <v>134</v>
      </c>
      <c r="AR12" t="s">
        <v>134</v>
      </c>
      <c r="AS12" t="s">
        <v>134</v>
      </c>
    </row>
    <row r="13" spans="3:49">
      <c r="C13" s="1" t="s">
        <v>134</v>
      </c>
      <c r="D13" s="1" t="s">
        <v>134</v>
      </c>
      <c r="E13" s="1"/>
      <c r="F13" s="1"/>
      <c r="G13" s="1"/>
      <c r="H13" s="1"/>
      <c r="I13" s="1"/>
      <c r="J13" s="1"/>
      <c r="K13" s="1"/>
      <c r="L13" s="1" t="s">
        <v>134</v>
      </c>
      <c r="M13" s="1" t="s">
        <v>134</v>
      </c>
      <c r="N13" s="1"/>
      <c r="O13" s="1"/>
      <c r="P13" s="1"/>
      <c r="Q13" s="1"/>
      <c r="R13" s="1"/>
      <c r="S13" s="1"/>
      <c r="T13" s="1" t="s">
        <v>134</v>
      </c>
      <c r="U13" s="1" t="s">
        <v>134</v>
      </c>
      <c r="AA13" t="s">
        <v>134</v>
      </c>
      <c r="AB13" t="s">
        <v>134</v>
      </c>
      <c r="AJ13" t="s">
        <v>134</v>
      </c>
      <c r="AK13" t="s">
        <v>134</v>
      </c>
      <c r="AR13" t="s">
        <v>134</v>
      </c>
      <c r="AS13" t="s">
        <v>134</v>
      </c>
    </row>
    <row r="14" spans="3:49">
      <c r="C14" s="1" t="s">
        <v>134</v>
      </c>
      <c r="D14" s="1" t="s">
        <v>134</v>
      </c>
      <c r="E14" s="1"/>
      <c r="F14" s="1"/>
      <c r="G14" s="1"/>
      <c r="H14" s="1"/>
      <c r="I14" s="1"/>
      <c r="J14" s="1"/>
      <c r="K14" s="1"/>
      <c r="L14" s="1" t="s">
        <v>134</v>
      </c>
      <c r="M14" s="1" t="s">
        <v>134</v>
      </c>
      <c r="N14" s="1"/>
      <c r="O14" s="1"/>
      <c r="P14" s="1"/>
      <c r="Q14" s="1"/>
      <c r="R14" s="1"/>
      <c r="S14" s="1"/>
      <c r="T14" s="1" t="s">
        <v>134</v>
      </c>
      <c r="U14" s="1" t="s">
        <v>134</v>
      </c>
      <c r="AA14" t="s">
        <v>134</v>
      </c>
      <c r="AB14" t="s">
        <v>134</v>
      </c>
      <c r="AJ14" t="s">
        <v>134</v>
      </c>
      <c r="AK14" t="s">
        <v>134</v>
      </c>
      <c r="AR14" t="s">
        <v>134</v>
      </c>
      <c r="AS14" t="s">
        <v>134</v>
      </c>
    </row>
    <row r="15" spans="3:49">
      <c r="C15" s="1" t="s">
        <v>134</v>
      </c>
      <c r="D15" s="1" t="s">
        <v>134</v>
      </c>
      <c r="E15" s="1"/>
      <c r="F15" s="1"/>
      <c r="G15" s="1"/>
      <c r="H15" s="1"/>
      <c r="I15" s="1"/>
      <c r="J15" s="1"/>
      <c r="K15" s="1"/>
      <c r="L15" s="1" t="s">
        <v>134</v>
      </c>
      <c r="M15" s="1" t="s">
        <v>134</v>
      </c>
      <c r="N15" s="1"/>
      <c r="O15" s="1"/>
      <c r="P15" s="1"/>
      <c r="Q15" s="1"/>
      <c r="R15" s="1"/>
      <c r="S15" s="1"/>
      <c r="T15" s="1" t="s">
        <v>134</v>
      </c>
      <c r="U15" s="1" t="s">
        <v>134</v>
      </c>
      <c r="AA15" t="s">
        <v>134</v>
      </c>
      <c r="AB15" t="s">
        <v>134</v>
      </c>
      <c r="AJ15" t="s">
        <v>134</v>
      </c>
      <c r="AK15" t="s">
        <v>134</v>
      </c>
      <c r="AR15" t="s">
        <v>134</v>
      </c>
      <c r="AS15" t="s">
        <v>134</v>
      </c>
    </row>
  </sheetData>
  <mergeCells count="1">
    <mergeCell ref="C2:U2"/>
  </mergeCells>
  <conditionalFormatting sqref="C3:U15">
    <cfRule type="cellIs" dxfId="3" priority="3" operator="equal">
      <formula>"M"</formula>
    </cfRule>
    <cfRule type="cellIs" dxfId="2" priority="4" operator="equal">
      <formula>"F"</formula>
    </cfRule>
  </conditionalFormatting>
  <conditionalFormatting sqref="AA3:AS15">
    <cfRule type="containsText" dxfId="1" priority="2" operator="containsText" text="F">
      <formula>NOT(ISERROR(SEARCH("F",AA3)))</formula>
    </cfRule>
  </conditionalFormatting>
  <conditionalFormatting sqref="AA3:AS15">
    <cfRule type="containsText" dxfId="0" priority="1" operator="containsText" text="M">
      <formula>NOT(ISERROR(SEARCH("M",AA3)))</formula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3"/>
  <sheetViews>
    <sheetView zoomScale="200" zoomScaleNormal="200" workbookViewId="0">
      <selection activeCell="M8" sqref="M8"/>
    </sheetView>
  </sheetViews>
  <sheetFormatPr defaultRowHeight="14.4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  <col min="12" max="12" width="11.140625" bestFit="1" customWidth="1"/>
  </cols>
  <sheetData>
    <row r="1" spans="1:14" ht="15">
      <c r="A1" s="24" t="s">
        <v>115</v>
      </c>
      <c r="B1" s="24" t="s">
        <v>116</v>
      </c>
      <c r="C1" s="24" t="s">
        <v>117</v>
      </c>
      <c r="D1" s="24" t="s">
        <v>82</v>
      </c>
      <c r="F1" s="25" t="s">
        <v>118</v>
      </c>
      <c r="G1" s="24" t="s">
        <v>119</v>
      </c>
      <c r="H1" s="24" t="s">
        <v>120</v>
      </c>
      <c r="L1" s="25" t="s">
        <v>118</v>
      </c>
      <c r="M1" s="24" t="s">
        <v>119</v>
      </c>
      <c r="N1" s="24" t="s">
        <v>120</v>
      </c>
    </row>
    <row r="2" spans="1:14">
      <c r="A2" s="23">
        <v>43739</v>
      </c>
      <c r="B2" s="1" t="s">
        <v>122</v>
      </c>
      <c r="C2" s="1" t="s">
        <v>119</v>
      </c>
      <c r="D2" s="1">
        <v>5000</v>
      </c>
      <c r="F2" s="1" t="s">
        <v>122</v>
      </c>
      <c r="G2" s="1">
        <f>AVERAGEIFS($D$2:$D$13,$B$2:$B$13,$F2,$C$2:$C$13,G$1)</f>
        <v>4750</v>
      </c>
      <c r="H2" s="1">
        <f>AVERAGEIFS($D$2:$D$13,$B$2:$B$13,$F2,$C$2:$C$13,H$1)</f>
        <v>2575</v>
      </c>
      <c r="J2" s="1">
        <f ca="1">AVERAGEIF(B:B,F2,$D$2:$D$13)</f>
        <v>5265</v>
      </c>
      <c r="L2" s="1" t="s">
        <v>122</v>
      </c>
      <c r="M2">
        <f>AVERAGEIF(B2:B13,$L2,D2:D13)</f>
        <v>3662.5</v>
      </c>
    </row>
    <row r="3" spans="1:14">
      <c r="A3" s="23">
        <v>43740</v>
      </c>
      <c r="B3" s="1" t="s">
        <v>124</v>
      </c>
      <c r="C3" s="1" t="s">
        <v>120</v>
      </c>
      <c r="D3" s="1">
        <v>6000</v>
      </c>
      <c r="F3" s="1" t="s">
        <v>124</v>
      </c>
      <c r="G3" s="1">
        <f t="shared" ref="G3:H4" si="0">AVERAGEIFS($D$2:$D$13,$B$2:$B$13,$F3,$C$2:$C$13,G$1)</f>
        <v>6500</v>
      </c>
      <c r="H3" s="1">
        <f t="shared" si="0"/>
        <v>3700</v>
      </c>
      <c r="J3" s="1">
        <f ca="1">AVERAGEIF(B:B,F3,$D$2:$D$13)</f>
        <v>2775</v>
      </c>
      <c r="L3" s="1" t="s">
        <v>124</v>
      </c>
      <c r="M3">
        <f t="shared" ref="M3:M4" si="1">AVERAGEIF(B3:B14,$L3,D3:D14)</f>
        <v>4400</v>
      </c>
    </row>
    <row r="4" spans="1:14">
      <c r="A4" s="23">
        <v>43741</v>
      </c>
      <c r="B4" s="1" t="s">
        <v>122</v>
      </c>
      <c r="C4" s="1" t="s">
        <v>119</v>
      </c>
      <c r="D4" s="1">
        <v>4500</v>
      </c>
      <c r="F4" s="1" t="s">
        <v>125</v>
      </c>
      <c r="G4" s="1">
        <f t="shared" si="0"/>
        <v>2877.5</v>
      </c>
      <c r="H4" s="1" t="str">
        <f>IFERROR(AVERAGEIFS($D$2:$D$13,$B$2:$B$13,$F4,$C$2:$C$13,H$1),"")</f>
        <v/>
      </c>
      <c r="J4" s="1">
        <f ca="1">AVERAGEIF(B:B,F4,$D$2:$D$13)</f>
        <v>2200</v>
      </c>
      <c r="L4" s="1" t="s">
        <v>126</v>
      </c>
      <c r="M4">
        <f t="shared" si="1"/>
        <v>2877.5</v>
      </c>
    </row>
    <row r="5" spans="1:14">
      <c r="A5" s="23">
        <v>43742</v>
      </c>
      <c r="B5" s="1" t="s">
        <v>124</v>
      </c>
      <c r="C5" s="1" t="s">
        <v>119</v>
      </c>
      <c r="D5" s="1">
        <v>6500</v>
      </c>
    </row>
    <row r="6" spans="1:14">
      <c r="A6" s="23">
        <v>43743</v>
      </c>
      <c r="B6" s="1" t="s">
        <v>122</v>
      </c>
      <c r="C6" s="1" t="s">
        <v>120</v>
      </c>
      <c r="D6" s="1">
        <v>4500</v>
      </c>
      <c r="M6" t="s">
        <v>138</v>
      </c>
    </row>
    <row r="7" spans="1:14">
      <c r="A7" s="23">
        <v>43744</v>
      </c>
      <c r="B7" s="1" t="s">
        <v>126</v>
      </c>
      <c r="C7" s="1" t="s">
        <v>119</v>
      </c>
      <c r="D7" s="1">
        <v>6000</v>
      </c>
      <c r="M7" t="s">
        <v>139</v>
      </c>
    </row>
    <row r="8" spans="1:14">
      <c r="A8" s="23">
        <v>43745</v>
      </c>
      <c r="B8" s="1" t="s">
        <v>124</v>
      </c>
      <c r="C8" s="1" t="s">
        <v>120</v>
      </c>
      <c r="D8" s="1">
        <v>4500</v>
      </c>
    </row>
    <row r="9" spans="1:14">
      <c r="A9" s="23">
        <v>43746</v>
      </c>
      <c r="B9" s="1" t="s">
        <v>124</v>
      </c>
      <c r="C9" s="1" t="s">
        <v>120</v>
      </c>
      <c r="D9" s="1">
        <v>600</v>
      </c>
    </row>
    <row r="10" spans="1:14">
      <c r="A10" s="23">
        <v>43747</v>
      </c>
      <c r="B10" s="1" t="s">
        <v>126</v>
      </c>
      <c r="C10" s="1" t="s">
        <v>119</v>
      </c>
      <c r="D10" s="1">
        <v>1500</v>
      </c>
    </row>
    <row r="11" spans="1:14">
      <c r="A11" s="23">
        <v>43748</v>
      </c>
      <c r="B11" s="1" t="s">
        <v>126</v>
      </c>
      <c r="C11" s="1" t="s">
        <v>119</v>
      </c>
      <c r="D11" s="1">
        <v>1450</v>
      </c>
    </row>
    <row r="12" spans="1:14">
      <c r="A12" s="23">
        <v>43749</v>
      </c>
      <c r="B12" s="1" t="s">
        <v>122</v>
      </c>
      <c r="C12" s="1" t="s">
        <v>120</v>
      </c>
      <c r="D12" s="1">
        <v>650</v>
      </c>
    </row>
    <row r="13" spans="1:14">
      <c r="A13" s="23">
        <v>43750</v>
      </c>
      <c r="B13" s="1" t="s">
        <v>126</v>
      </c>
      <c r="C13" s="1" t="s">
        <v>119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zoomScale="200" zoomScaleNormal="200" workbookViewId="0">
      <selection activeCell="F5" sqref="F5"/>
    </sheetView>
  </sheetViews>
  <sheetFormatPr defaultRowHeight="14.45"/>
  <cols>
    <col min="1" max="1" width="10.42578125" bestFit="1" customWidth="1"/>
    <col min="2" max="2" width="14" bestFit="1" customWidth="1"/>
    <col min="3" max="3" width="11.5703125" customWidth="1"/>
  </cols>
  <sheetData>
    <row r="1" spans="1:6">
      <c r="A1" s="24" t="s">
        <v>115</v>
      </c>
      <c r="B1" s="24" t="s">
        <v>116</v>
      </c>
      <c r="C1" s="24" t="s">
        <v>117</v>
      </c>
      <c r="D1" s="24" t="s">
        <v>82</v>
      </c>
    </row>
    <row r="2" spans="1:6">
      <c r="A2" s="23">
        <v>43740</v>
      </c>
      <c r="B2" s="1" t="s">
        <v>124</v>
      </c>
      <c r="C2" s="1" t="s">
        <v>120</v>
      </c>
      <c r="D2" s="1">
        <v>6000</v>
      </c>
      <c r="F2">
        <f>SUBTOTAL(4,D2:D13)</f>
        <v>6500</v>
      </c>
    </row>
    <row r="3" spans="1:6">
      <c r="A3" s="23">
        <v>43742</v>
      </c>
      <c r="B3" s="1" t="s">
        <v>124</v>
      </c>
      <c r="C3" s="1" t="s">
        <v>119</v>
      </c>
      <c r="D3" s="1">
        <v>6500</v>
      </c>
    </row>
    <row r="4" spans="1:6">
      <c r="A4" s="23">
        <v>43745</v>
      </c>
      <c r="B4" s="1" t="s">
        <v>124</v>
      </c>
      <c r="C4" s="1" t="s">
        <v>120</v>
      </c>
      <c r="D4" s="1">
        <v>4500</v>
      </c>
      <c r="F4" t="s">
        <v>140</v>
      </c>
    </row>
    <row r="5" spans="1:6">
      <c r="A5" s="23">
        <v>43746</v>
      </c>
      <c r="B5" s="1" t="s">
        <v>124</v>
      </c>
      <c r="C5" s="1" t="s">
        <v>120</v>
      </c>
      <c r="D5" s="1">
        <v>600</v>
      </c>
    </row>
    <row r="6" spans="1:6">
      <c r="A6" s="23">
        <v>43744</v>
      </c>
      <c r="B6" s="1" t="s">
        <v>126</v>
      </c>
      <c r="C6" s="1" t="s">
        <v>119</v>
      </c>
      <c r="D6" s="1">
        <v>6000</v>
      </c>
    </row>
    <row r="7" spans="1:6">
      <c r="A7" s="23">
        <v>43747</v>
      </c>
      <c r="B7" s="1" t="s">
        <v>126</v>
      </c>
      <c r="C7" s="1" t="s">
        <v>119</v>
      </c>
      <c r="D7" s="1">
        <v>1500</v>
      </c>
    </row>
    <row r="8" spans="1:6">
      <c r="A8" s="23">
        <v>43748</v>
      </c>
      <c r="B8" s="1" t="s">
        <v>126</v>
      </c>
      <c r="C8" s="1" t="s">
        <v>119</v>
      </c>
      <c r="D8" s="1">
        <v>1450</v>
      </c>
    </row>
    <row r="9" spans="1:6">
      <c r="A9" s="23">
        <v>43750</v>
      </c>
      <c r="B9" s="1" t="s">
        <v>126</v>
      </c>
      <c r="C9" s="1" t="s">
        <v>119</v>
      </c>
      <c r="D9" s="1">
        <v>2560</v>
      </c>
    </row>
    <row r="10" spans="1:6">
      <c r="A10" s="23">
        <v>43739</v>
      </c>
      <c r="B10" s="1" t="s">
        <v>122</v>
      </c>
      <c r="C10" s="1" t="s">
        <v>119</v>
      </c>
      <c r="D10" s="1">
        <v>5000</v>
      </c>
    </row>
    <row r="11" spans="1:6">
      <c r="A11" s="23">
        <v>43741</v>
      </c>
      <c r="B11" s="1" t="s">
        <v>122</v>
      </c>
      <c r="C11" s="1" t="s">
        <v>119</v>
      </c>
      <c r="D11" s="1">
        <v>4500</v>
      </c>
    </row>
    <row r="12" spans="1:6">
      <c r="A12" s="23">
        <v>43743</v>
      </c>
      <c r="B12" s="1" t="s">
        <v>122</v>
      </c>
      <c r="C12" s="1" t="s">
        <v>120</v>
      </c>
      <c r="D12" s="1">
        <v>4500</v>
      </c>
    </row>
    <row r="13" spans="1:6">
      <c r="A13" s="23">
        <v>43749</v>
      </c>
      <c r="B13" s="1" t="s">
        <v>122</v>
      </c>
      <c r="C13" s="1" t="s">
        <v>120</v>
      </c>
      <c r="D13" s="1">
        <v>650</v>
      </c>
    </row>
  </sheetData>
  <sortState xmlns:xlrd2="http://schemas.microsoft.com/office/spreadsheetml/2017/richdata2" ref="A2:D13">
    <sortCondition ref="B2:B13"/>
  </sortState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zoomScale="200" zoomScaleNormal="200" workbookViewId="0">
      <selection activeCell="H6" sqref="H6"/>
    </sheetView>
  </sheetViews>
  <sheetFormatPr defaultRowHeight="14.45"/>
  <cols>
    <col min="1" max="1" width="10.42578125" bestFit="1" customWidth="1"/>
    <col min="2" max="2" width="11.5703125" customWidth="1"/>
  </cols>
  <sheetData>
    <row r="1" spans="1:8">
      <c r="A1" s="24" t="s">
        <v>115</v>
      </c>
      <c r="B1" s="24" t="s">
        <v>141</v>
      </c>
      <c r="C1" s="24" t="s">
        <v>142</v>
      </c>
      <c r="D1" s="24" t="s">
        <v>143</v>
      </c>
      <c r="E1" s="47" t="s">
        <v>118</v>
      </c>
    </row>
    <row r="2" spans="1:8">
      <c r="A2" s="23">
        <v>43739</v>
      </c>
      <c r="B2" s="1" t="s">
        <v>144</v>
      </c>
      <c r="C2" s="1">
        <v>500</v>
      </c>
      <c r="D2" s="1">
        <v>450</v>
      </c>
      <c r="E2">
        <f>C2*D2</f>
        <v>225000</v>
      </c>
      <c r="F2">
        <f>PRODUCT(C2:D2)</f>
        <v>225000</v>
      </c>
      <c r="H2">
        <f>SUMPRODUCT(C2:C13,D2:D13)</f>
        <v>4942500</v>
      </c>
    </row>
    <row r="3" spans="1:8">
      <c r="A3" s="23">
        <v>43740</v>
      </c>
      <c r="B3" s="1" t="s">
        <v>145</v>
      </c>
      <c r="C3" s="1">
        <v>600</v>
      </c>
      <c r="D3" s="1">
        <v>950</v>
      </c>
      <c r="E3">
        <f t="shared" ref="E3:E13" si="0">C3*D3</f>
        <v>570000</v>
      </c>
      <c r="F3">
        <f t="shared" ref="F3:F13" si="1">PRODUCT(C3:D3)</f>
        <v>570000</v>
      </c>
    </row>
    <row r="4" spans="1:8">
      <c r="A4" s="23">
        <v>43741</v>
      </c>
      <c r="B4" s="1" t="s">
        <v>146</v>
      </c>
      <c r="C4" s="1">
        <v>450</v>
      </c>
      <c r="D4" s="1">
        <v>350</v>
      </c>
      <c r="E4">
        <f t="shared" si="0"/>
        <v>157500</v>
      </c>
      <c r="F4">
        <f t="shared" si="1"/>
        <v>157500</v>
      </c>
    </row>
    <row r="5" spans="1:8">
      <c r="A5" s="23">
        <v>43742</v>
      </c>
      <c r="B5" s="1" t="s">
        <v>147</v>
      </c>
      <c r="C5" s="1">
        <v>350</v>
      </c>
      <c r="D5" s="1">
        <v>350</v>
      </c>
      <c r="E5">
        <f t="shared" si="0"/>
        <v>122500</v>
      </c>
      <c r="F5">
        <f t="shared" si="1"/>
        <v>122500</v>
      </c>
      <c r="H5" t="s">
        <v>148</v>
      </c>
    </row>
    <row r="6" spans="1:8">
      <c r="A6" s="23">
        <v>43743</v>
      </c>
      <c r="B6" s="1" t="s">
        <v>149</v>
      </c>
      <c r="C6" s="1">
        <v>650</v>
      </c>
      <c r="D6" s="1">
        <v>250</v>
      </c>
      <c r="E6">
        <f t="shared" si="0"/>
        <v>162500</v>
      </c>
      <c r="F6">
        <f t="shared" si="1"/>
        <v>162500</v>
      </c>
    </row>
    <row r="7" spans="1:8">
      <c r="A7" s="23">
        <v>43744</v>
      </c>
      <c r="B7" s="1" t="s">
        <v>150</v>
      </c>
      <c r="C7" s="1">
        <v>120</v>
      </c>
      <c r="D7" s="1">
        <v>850</v>
      </c>
      <c r="E7">
        <f t="shared" si="0"/>
        <v>102000</v>
      </c>
      <c r="F7">
        <f t="shared" si="1"/>
        <v>102000</v>
      </c>
    </row>
    <row r="8" spans="1:8">
      <c r="A8" s="23">
        <v>43745</v>
      </c>
      <c r="B8" s="1" t="s">
        <v>151</v>
      </c>
      <c r="C8" s="1">
        <v>250</v>
      </c>
      <c r="D8" s="1">
        <v>3500</v>
      </c>
      <c r="E8">
        <f t="shared" si="0"/>
        <v>875000</v>
      </c>
      <c r="F8">
        <f t="shared" si="1"/>
        <v>875000</v>
      </c>
    </row>
    <row r="9" spans="1:8">
      <c r="A9" s="23">
        <v>43746</v>
      </c>
      <c r="B9" s="1" t="s">
        <v>152</v>
      </c>
      <c r="C9" s="1">
        <v>150</v>
      </c>
      <c r="D9" s="1">
        <v>2500</v>
      </c>
      <c r="E9">
        <f t="shared" si="0"/>
        <v>375000</v>
      </c>
      <c r="F9">
        <f t="shared" si="1"/>
        <v>375000</v>
      </c>
    </row>
    <row r="10" spans="1:8">
      <c r="A10" s="23">
        <v>43747</v>
      </c>
      <c r="B10" s="1" t="s">
        <v>153</v>
      </c>
      <c r="C10" s="1">
        <v>250</v>
      </c>
      <c r="D10" s="1">
        <v>2500</v>
      </c>
      <c r="E10">
        <f t="shared" si="0"/>
        <v>625000</v>
      </c>
      <c r="F10">
        <f t="shared" si="1"/>
        <v>625000</v>
      </c>
    </row>
    <row r="11" spans="1:8">
      <c r="A11" s="23">
        <v>43748</v>
      </c>
      <c r="B11" s="1" t="s">
        <v>154</v>
      </c>
      <c r="C11" s="1">
        <v>360</v>
      </c>
      <c r="D11" s="1">
        <v>3500</v>
      </c>
      <c r="E11">
        <f t="shared" si="0"/>
        <v>1260000</v>
      </c>
      <c r="F11">
        <f t="shared" si="1"/>
        <v>1260000</v>
      </c>
    </row>
    <row r="12" spans="1:8">
      <c r="A12" s="23">
        <v>43749</v>
      </c>
      <c r="B12" s="1" t="s">
        <v>155</v>
      </c>
      <c r="C12" s="1">
        <v>120</v>
      </c>
      <c r="D12" s="1">
        <v>1800</v>
      </c>
      <c r="E12">
        <f t="shared" si="0"/>
        <v>216000</v>
      </c>
      <c r="F12">
        <f t="shared" si="1"/>
        <v>216000</v>
      </c>
    </row>
    <row r="13" spans="1:8">
      <c r="A13" s="23">
        <v>43750</v>
      </c>
      <c r="B13" s="1" t="s">
        <v>156</v>
      </c>
      <c r="C13" s="1">
        <v>210</v>
      </c>
      <c r="D13" s="1">
        <v>1200</v>
      </c>
      <c r="E13">
        <f t="shared" si="0"/>
        <v>252000</v>
      </c>
      <c r="F13">
        <f t="shared" si="1"/>
        <v>252000</v>
      </c>
    </row>
    <row r="14" spans="1:8">
      <c r="E14">
        <f>SUM(E2:E13)</f>
        <v>4942500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zoomScale="200" zoomScaleNormal="200" workbookViewId="0">
      <selection activeCell="D3" sqref="D3"/>
    </sheetView>
  </sheetViews>
  <sheetFormatPr defaultRowHeight="14.45"/>
  <cols>
    <col min="1" max="1" width="10.42578125" bestFit="1" customWidth="1"/>
    <col min="2" max="2" width="14.28515625" bestFit="1" customWidth="1"/>
    <col min="3" max="3" width="13.7109375" customWidth="1"/>
  </cols>
  <sheetData>
    <row r="1" spans="1:7">
      <c r="A1" s="24" t="s">
        <v>115</v>
      </c>
      <c r="B1" s="24" t="s">
        <v>157</v>
      </c>
      <c r="C1" s="24" t="s">
        <v>158</v>
      </c>
      <c r="D1" s="24" t="s">
        <v>159</v>
      </c>
      <c r="G1" s="48" t="s">
        <v>160</v>
      </c>
    </row>
    <row r="2" spans="1:7">
      <c r="A2" s="23">
        <v>43739</v>
      </c>
      <c r="B2" s="1" t="s">
        <v>5</v>
      </c>
      <c r="C2" s="1">
        <v>15000</v>
      </c>
      <c r="D2" s="1" t="str">
        <f>IF(C2&lt;20000,"YES","NO")</f>
        <v>YES</v>
      </c>
      <c r="G2">
        <v>20000</v>
      </c>
    </row>
    <row r="3" spans="1:7">
      <c r="A3" s="23">
        <v>43740</v>
      </c>
      <c r="B3" s="1" t="s">
        <v>6</v>
      </c>
      <c r="C3" s="1">
        <v>16000</v>
      </c>
      <c r="D3" s="1" t="str">
        <f t="shared" ref="D3:D13" si="0">IF(C3&lt;20000,"YES","NO")</f>
        <v>YES</v>
      </c>
    </row>
    <row r="4" spans="1:7">
      <c r="A4" s="23">
        <v>43741</v>
      </c>
      <c r="B4" s="1" t="s">
        <v>7</v>
      </c>
      <c r="C4" s="1">
        <v>18000</v>
      </c>
      <c r="D4" s="1" t="str">
        <f t="shared" si="0"/>
        <v>YES</v>
      </c>
    </row>
    <row r="5" spans="1:7">
      <c r="A5" s="23">
        <v>43742</v>
      </c>
      <c r="B5" s="1" t="s">
        <v>9</v>
      </c>
      <c r="C5" s="1">
        <v>19000</v>
      </c>
      <c r="D5" s="1" t="str">
        <f t="shared" si="0"/>
        <v>YES</v>
      </c>
    </row>
    <row r="6" spans="1:7">
      <c r="A6" s="23">
        <v>43743</v>
      </c>
      <c r="B6" s="1" t="s">
        <v>10</v>
      </c>
      <c r="C6" s="1">
        <v>25000</v>
      </c>
      <c r="D6" s="1" t="str">
        <f t="shared" si="0"/>
        <v>NO</v>
      </c>
    </row>
    <row r="7" spans="1:7">
      <c r="A7" s="23">
        <v>43744</v>
      </c>
      <c r="B7" s="1" t="s">
        <v>11</v>
      </c>
      <c r="C7" s="1">
        <v>22000</v>
      </c>
      <c r="D7" s="1" t="str">
        <f t="shared" si="0"/>
        <v>NO</v>
      </c>
    </row>
    <row r="8" spans="1:7">
      <c r="A8" s="23">
        <v>43745</v>
      </c>
      <c r="B8" s="1" t="s">
        <v>12</v>
      </c>
      <c r="C8" s="1">
        <v>15000</v>
      </c>
      <c r="D8" s="1" t="str">
        <f t="shared" si="0"/>
        <v>YES</v>
      </c>
    </row>
    <row r="9" spans="1:7">
      <c r="A9" s="23">
        <v>43746</v>
      </c>
      <c r="B9" s="1" t="s">
        <v>13</v>
      </c>
      <c r="C9" s="1">
        <v>35000</v>
      </c>
      <c r="D9" s="1" t="str">
        <f t="shared" si="0"/>
        <v>NO</v>
      </c>
    </row>
    <row r="10" spans="1:7">
      <c r="A10" s="23">
        <v>43747</v>
      </c>
      <c r="B10" s="1" t="s">
        <v>14</v>
      </c>
      <c r="C10" s="1">
        <v>15000</v>
      </c>
      <c r="D10" s="1" t="str">
        <f t="shared" si="0"/>
        <v>YES</v>
      </c>
    </row>
    <row r="11" spans="1:7">
      <c r="A11" s="23">
        <v>43748</v>
      </c>
      <c r="B11" s="1" t="s">
        <v>15</v>
      </c>
      <c r="C11" s="1">
        <v>35000</v>
      </c>
      <c r="D11" s="1" t="str">
        <f t="shared" si="0"/>
        <v>NO</v>
      </c>
    </row>
    <row r="12" spans="1:7">
      <c r="A12" s="23">
        <v>43749</v>
      </c>
      <c r="B12" s="1" t="s">
        <v>16</v>
      </c>
      <c r="C12" s="1">
        <v>18000</v>
      </c>
      <c r="D12" s="1" t="str">
        <f t="shared" si="0"/>
        <v>YES</v>
      </c>
    </row>
    <row r="13" spans="1:7">
      <c r="A13" s="23">
        <v>43750</v>
      </c>
      <c r="B13" s="1" t="s">
        <v>17</v>
      </c>
      <c r="C13" s="1">
        <v>21000</v>
      </c>
      <c r="D13" s="1" t="str">
        <f t="shared" si="0"/>
        <v>NO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zoomScale="200" zoomScaleNormal="200" workbookViewId="0">
      <selection activeCell="C6" sqref="C6"/>
    </sheetView>
  </sheetViews>
  <sheetFormatPr defaultRowHeight="14.4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7" max="7" width="9.7109375" bestFit="1" customWidth="1"/>
  </cols>
  <sheetData>
    <row r="1" spans="1:8">
      <c r="A1" s="24" t="s">
        <v>115</v>
      </c>
      <c r="B1" s="24" t="s">
        <v>157</v>
      </c>
      <c r="C1" s="24" t="s">
        <v>161</v>
      </c>
      <c r="D1" s="24" t="s">
        <v>158</v>
      </c>
      <c r="E1" s="24" t="s">
        <v>159</v>
      </c>
      <c r="F1" s="47" t="s">
        <v>162</v>
      </c>
      <c r="G1" s="49" t="s">
        <v>161</v>
      </c>
      <c r="H1" s="49" t="s">
        <v>163</v>
      </c>
    </row>
    <row r="2" spans="1:8">
      <c r="A2" s="23">
        <v>43739</v>
      </c>
      <c r="B2" s="1" t="s">
        <v>5</v>
      </c>
      <c r="C2" s="1" t="s">
        <v>164</v>
      </c>
      <c r="D2" s="1">
        <v>15000</v>
      </c>
      <c r="E2" s="1" t="str">
        <f>IF(AND(C2="MANAGER",D2&gt;=20000),"YES","NO")</f>
        <v>NO</v>
      </c>
      <c r="F2" t="str">
        <f>IF(OR(C2="MANAGER",D2&gt;=20000),"YES","NO")</f>
        <v>YES</v>
      </c>
      <c r="G2" t="s">
        <v>164</v>
      </c>
      <c r="H2" t="s">
        <v>165</v>
      </c>
    </row>
    <row r="3" spans="1:8">
      <c r="A3" s="23">
        <v>43740</v>
      </c>
      <c r="B3" s="1" t="s">
        <v>6</v>
      </c>
      <c r="C3" s="1" t="s">
        <v>166</v>
      </c>
      <c r="D3" s="1">
        <v>16000</v>
      </c>
      <c r="E3" s="1" t="str">
        <f t="shared" ref="E3:E13" si="0">IF(AND(C3="MANAGER",D3&gt;=20000),"YES","NO")</f>
        <v>NO</v>
      </c>
      <c r="F3" t="str">
        <f t="shared" ref="F3:F13" si="1">IF(OR(C3="MANAGER",D3&gt;=20000),"YES","NO")</f>
        <v>NO</v>
      </c>
    </row>
    <row r="4" spans="1:8">
      <c r="A4" s="23">
        <v>43741</v>
      </c>
      <c r="B4" s="1" t="s">
        <v>7</v>
      </c>
      <c r="C4" s="1" t="s">
        <v>164</v>
      </c>
      <c r="D4" s="1">
        <v>18000</v>
      </c>
      <c r="E4" s="1" t="str">
        <f t="shared" si="0"/>
        <v>NO</v>
      </c>
      <c r="F4" t="str">
        <f t="shared" si="1"/>
        <v>YES</v>
      </c>
    </row>
    <row r="5" spans="1:8">
      <c r="A5" s="23">
        <v>43742</v>
      </c>
      <c r="B5" s="1" t="s">
        <v>9</v>
      </c>
      <c r="C5" s="1" t="s">
        <v>167</v>
      </c>
      <c r="D5" s="1">
        <v>19000</v>
      </c>
      <c r="E5" s="1" t="str">
        <f t="shared" si="0"/>
        <v>NO</v>
      </c>
      <c r="F5" t="str">
        <f t="shared" si="1"/>
        <v>NO</v>
      </c>
    </row>
    <row r="6" spans="1:8">
      <c r="A6" s="23">
        <v>43743</v>
      </c>
      <c r="B6" s="1" t="s">
        <v>10</v>
      </c>
      <c r="C6" s="1" t="s">
        <v>168</v>
      </c>
      <c r="D6" s="1">
        <v>25000</v>
      </c>
      <c r="E6" s="1" t="str">
        <f t="shared" si="0"/>
        <v>NO</v>
      </c>
      <c r="F6" t="str">
        <f t="shared" si="1"/>
        <v>YES</v>
      </c>
    </row>
    <row r="7" spans="1:8">
      <c r="A7" s="23">
        <v>43744</v>
      </c>
      <c r="B7" s="1" t="s">
        <v>11</v>
      </c>
      <c r="C7" s="1" t="s">
        <v>164</v>
      </c>
      <c r="D7" s="1">
        <v>22000</v>
      </c>
      <c r="E7" s="1" t="str">
        <f t="shared" si="0"/>
        <v>YES</v>
      </c>
      <c r="F7" t="str">
        <f t="shared" si="1"/>
        <v>YES</v>
      </c>
    </row>
    <row r="8" spans="1:8">
      <c r="A8" s="23">
        <v>43745</v>
      </c>
      <c r="B8" s="1" t="s">
        <v>12</v>
      </c>
      <c r="C8" s="1" t="s">
        <v>166</v>
      </c>
      <c r="D8" s="1">
        <v>15000</v>
      </c>
      <c r="E8" s="1" t="str">
        <f t="shared" si="0"/>
        <v>NO</v>
      </c>
      <c r="F8" t="str">
        <f t="shared" si="1"/>
        <v>NO</v>
      </c>
    </row>
    <row r="9" spans="1:8">
      <c r="A9" s="23">
        <v>43746</v>
      </c>
      <c r="B9" s="1" t="s">
        <v>13</v>
      </c>
      <c r="C9" s="1" t="s">
        <v>164</v>
      </c>
      <c r="D9" s="1">
        <v>35000</v>
      </c>
      <c r="E9" s="1" t="str">
        <f t="shared" si="0"/>
        <v>YES</v>
      </c>
      <c r="F9" t="str">
        <f t="shared" si="1"/>
        <v>YES</v>
      </c>
    </row>
    <row r="10" spans="1:8">
      <c r="A10" s="23">
        <v>43747</v>
      </c>
      <c r="B10" s="1" t="s">
        <v>14</v>
      </c>
      <c r="C10" s="1" t="s">
        <v>168</v>
      </c>
      <c r="D10" s="1">
        <v>15000</v>
      </c>
      <c r="E10" s="1" t="str">
        <f t="shared" si="0"/>
        <v>NO</v>
      </c>
      <c r="F10" t="str">
        <f t="shared" si="1"/>
        <v>NO</v>
      </c>
    </row>
    <row r="11" spans="1:8">
      <c r="A11" s="23">
        <v>43748</v>
      </c>
      <c r="B11" s="1" t="s">
        <v>15</v>
      </c>
      <c r="C11" s="1" t="s">
        <v>168</v>
      </c>
      <c r="D11" s="1">
        <v>35000</v>
      </c>
      <c r="E11" s="1" t="str">
        <f t="shared" si="0"/>
        <v>NO</v>
      </c>
      <c r="F11" t="str">
        <f t="shared" si="1"/>
        <v>YES</v>
      </c>
    </row>
    <row r="12" spans="1:8">
      <c r="A12" s="23">
        <v>43749</v>
      </c>
      <c r="B12" s="1" t="s">
        <v>16</v>
      </c>
      <c r="C12" s="1" t="s">
        <v>168</v>
      </c>
      <c r="D12" s="1">
        <v>18000</v>
      </c>
      <c r="E12" s="1" t="str">
        <f t="shared" si="0"/>
        <v>NO</v>
      </c>
      <c r="F12" t="str">
        <f t="shared" si="1"/>
        <v>NO</v>
      </c>
    </row>
    <row r="13" spans="1:8">
      <c r="A13" s="23">
        <v>43750</v>
      </c>
      <c r="B13" s="1" t="s">
        <v>17</v>
      </c>
      <c r="C13" s="1" t="s">
        <v>168</v>
      </c>
      <c r="D13" s="1">
        <v>21000</v>
      </c>
      <c r="E13" s="1" t="str">
        <f t="shared" si="0"/>
        <v>NO</v>
      </c>
      <c r="F13" t="str">
        <f t="shared" si="1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"/>
  <sheetViews>
    <sheetView zoomScale="200" zoomScaleNormal="200" workbookViewId="0">
      <selection activeCell="E2" sqref="E2"/>
    </sheetView>
  </sheetViews>
  <sheetFormatPr defaultRowHeight="14.4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7" max="7" width="11.28515625" bestFit="1" customWidth="1"/>
  </cols>
  <sheetData>
    <row r="1" spans="1:8">
      <c r="A1" s="24" t="s">
        <v>115</v>
      </c>
      <c r="B1" s="24" t="s">
        <v>157</v>
      </c>
      <c r="C1" s="24" t="s">
        <v>161</v>
      </c>
      <c r="D1" s="24" t="s">
        <v>158</v>
      </c>
      <c r="E1" s="24" t="s">
        <v>159</v>
      </c>
      <c r="G1" s="49" t="s">
        <v>164</v>
      </c>
      <c r="H1">
        <v>5000</v>
      </c>
    </row>
    <row r="2" spans="1:8">
      <c r="A2" s="23">
        <v>43739</v>
      </c>
      <c r="B2" s="1" t="s">
        <v>5</v>
      </c>
      <c r="C2" s="1" t="s">
        <v>164</v>
      </c>
      <c r="D2" s="1">
        <v>15000</v>
      </c>
      <c r="E2" s="1">
        <f>IF(C2="MANAGER",5000,IF(C2="SUPERVISOR",3000,IF(C2="CLERK",2500,2000)))</f>
        <v>5000</v>
      </c>
    </row>
    <row r="3" spans="1:8">
      <c r="A3" s="23">
        <v>43740</v>
      </c>
      <c r="B3" s="1" t="s">
        <v>6</v>
      </c>
      <c r="C3" s="1" t="s">
        <v>166</v>
      </c>
      <c r="D3" s="1">
        <v>16000</v>
      </c>
      <c r="E3" s="1">
        <f t="shared" ref="E3:E13" si="0">IF(C3="MANAGER",5000,IF(C3="SUPERVISOR",3000,IF(C3="CLERK",2500,2000)))</f>
        <v>3000</v>
      </c>
      <c r="G3" t="s">
        <v>166</v>
      </c>
      <c r="H3">
        <v>3000</v>
      </c>
    </row>
    <row r="4" spans="1:8">
      <c r="A4" s="23">
        <v>43741</v>
      </c>
      <c r="B4" s="1" t="s">
        <v>7</v>
      </c>
      <c r="C4" s="1" t="s">
        <v>164</v>
      </c>
      <c r="D4" s="1">
        <v>18000</v>
      </c>
      <c r="E4" s="1">
        <f t="shared" si="0"/>
        <v>5000</v>
      </c>
    </row>
    <row r="5" spans="1:8">
      <c r="A5" s="23">
        <v>43742</v>
      </c>
      <c r="B5" s="1" t="s">
        <v>9</v>
      </c>
      <c r="C5" s="1" t="s">
        <v>167</v>
      </c>
      <c r="D5" s="1">
        <v>19000</v>
      </c>
      <c r="E5" s="1">
        <f t="shared" si="0"/>
        <v>2000</v>
      </c>
      <c r="G5" t="s">
        <v>168</v>
      </c>
      <c r="H5">
        <v>2500</v>
      </c>
    </row>
    <row r="6" spans="1:8">
      <c r="A6" s="23">
        <v>43743</v>
      </c>
      <c r="B6" s="1" t="s">
        <v>10</v>
      </c>
      <c r="C6" s="1" t="s">
        <v>168</v>
      </c>
      <c r="D6" s="1">
        <v>25000</v>
      </c>
      <c r="E6" s="1">
        <f t="shared" si="0"/>
        <v>2500</v>
      </c>
    </row>
    <row r="7" spans="1:8">
      <c r="A7" s="23">
        <v>43744</v>
      </c>
      <c r="B7" s="1" t="s">
        <v>11</v>
      </c>
      <c r="C7" s="1" t="s">
        <v>164</v>
      </c>
      <c r="D7" s="1">
        <v>22000</v>
      </c>
      <c r="E7" s="1">
        <f t="shared" si="0"/>
        <v>5000</v>
      </c>
      <c r="G7" t="s">
        <v>167</v>
      </c>
      <c r="H7">
        <v>2000</v>
      </c>
    </row>
    <row r="8" spans="1:8">
      <c r="A8" s="23">
        <v>43745</v>
      </c>
      <c r="B8" s="1" t="s">
        <v>12</v>
      </c>
      <c r="C8" s="1" t="s">
        <v>166</v>
      </c>
      <c r="D8" s="1">
        <v>15000</v>
      </c>
      <c r="E8" s="1">
        <f t="shared" si="0"/>
        <v>3000</v>
      </c>
    </row>
    <row r="9" spans="1:8">
      <c r="A9" s="23">
        <v>43746</v>
      </c>
      <c r="B9" s="1" t="s">
        <v>13</v>
      </c>
      <c r="C9" s="1" t="s">
        <v>164</v>
      </c>
      <c r="D9" s="1">
        <v>35000</v>
      </c>
      <c r="E9" s="1">
        <f t="shared" si="0"/>
        <v>5000</v>
      </c>
    </row>
    <row r="10" spans="1:8">
      <c r="A10" s="23">
        <v>43747</v>
      </c>
      <c r="B10" s="1" t="s">
        <v>14</v>
      </c>
      <c r="C10" s="1" t="s">
        <v>168</v>
      </c>
      <c r="D10" s="1">
        <v>15000</v>
      </c>
      <c r="E10" s="1">
        <f t="shared" si="0"/>
        <v>2500</v>
      </c>
    </row>
    <row r="11" spans="1:8">
      <c r="A11" s="23">
        <v>43748</v>
      </c>
      <c r="B11" s="1" t="s">
        <v>15</v>
      </c>
      <c r="C11" s="1" t="s">
        <v>168</v>
      </c>
      <c r="D11" s="1">
        <v>35000</v>
      </c>
      <c r="E11" s="1">
        <f t="shared" si="0"/>
        <v>2500</v>
      </c>
    </row>
    <row r="12" spans="1:8">
      <c r="A12" s="23">
        <v>43749</v>
      </c>
      <c r="B12" s="1" t="s">
        <v>16</v>
      </c>
      <c r="C12" s="1" t="s">
        <v>168</v>
      </c>
      <c r="D12" s="1">
        <v>18000</v>
      </c>
      <c r="E12" s="1">
        <f t="shared" si="0"/>
        <v>2500</v>
      </c>
    </row>
    <row r="13" spans="1:8">
      <c r="A13" s="23">
        <v>43750</v>
      </c>
      <c r="B13" s="1" t="s">
        <v>17</v>
      </c>
      <c r="C13" s="1" t="s">
        <v>168</v>
      </c>
      <c r="D13" s="1">
        <v>21000</v>
      </c>
      <c r="E13" s="1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5"/>
  <sheetViews>
    <sheetView topLeftCell="D1" zoomScale="200" zoomScaleNormal="200" workbookViewId="0">
      <selection activeCell="G2" sqref="G2"/>
    </sheetView>
  </sheetViews>
  <sheetFormatPr defaultRowHeight="14.45"/>
  <cols>
    <col min="1" max="1" width="19.7109375" customWidth="1"/>
    <col min="5" max="5" width="17.85546875" bestFit="1" customWidth="1"/>
    <col min="6" max="6" width="10.85546875" bestFit="1" customWidth="1"/>
    <col min="9" max="9" width="18.28515625" bestFit="1" customWidth="1"/>
    <col min="12" max="12" width="11.7109375" bestFit="1" customWidth="1"/>
  </cols>
  <sheetData>
    <row r="1" spans="1:12">
      <c r="A1" s="24" t="s">
        <v>169</v>
      </c>
      <c r="B1" t="s">
        <v>170</v>
      </c>
      <c r="C1" t="s">
        <v>171</v>
      </c>
      <c r="D1" t="s">
        <v>172</v>
      </c>
      <c r="E1" s="24" t="s">
        <v>169</v>
      </c>
      <c r="I1" s="24"/>
    </row>
    <row r="2" spans="1:12">
      <c r="A2" s="1" t="s">
        <v>173</v>
      </c>
      <c r="B2" t="str">
        <f>LEFT(A2,6)</f>
        <v>Mumbai</v>
      </c>
      <c r="C2" t="str">
        <f>RIGHT(A2,6)</f>
        <v>400086</v>
      </c>
      <c r="D2" t="str">
        <f>MID(A2,4,3)</f>
        <v>bai</v>
      </c>
      <c r="E2" s="1" t="s">
        <v>173</v>
      </c>
      <c r="F2" t="str">
        <f>LEFT(E2,FIND(" ",E2,1)-1)</f>
        <v>Mumbai</v>
      </c>
      <c r="G2">
        <f>FIND(" ",E2,1)-1</f>
        <v>6</v>
      </c>
      <c r="I2" s="1"/>
      <c r="J2" t="str">
        <f>MID(E2,2,4)</f>
        <v>umba</v>
      </c>
      <c r="K2">
        <f>FIND(" ",E2,1) - 1</f>
        <v>6</v>
      </c>
      <c r="L2" t="str">
        <f>LEFT(E2,K2)</f>
        <v>Mumbai</v>
      </c>
    </row>
    <row r="3" spans="1:12">
      <c r="A3" s="1" t="s">
        <v>174</v>
      </c>
      <c r="B3" t="str">
        <f t="shared" ref="B3:B13" si="0">LEFT(A3,6)</f>
        <v>Mumbai</v>
      </c>
      <c r="C3" t="str">
        <f t="shared" ref="C3:C13" si="1">RIGHT(A3,6)</f>
        <v>400087</v>
      </c>
      <c r="D3" t="str">
        <f t="shared" ref="D3:D13" si="2">MID(A3,4,3)</f>
        <v>bai</v>
      </c>
      <c r="E3" s="1" t="s">
        <v>175</v>
      </c>
      <c r="F3" t="str">
        <f t="shared" ref="F3:F13" si="3">LEFT(E3,FIND(" ",E3,1)-1)</f>
        <v>Delhi</v>
      </c>
      <c r="G3">
        <f t="shared" ref="G3:G13" si="4">FIND(" ",E3,1)-1</f>
        <v>5</v>
      </c>
      <c r="I3" s="1"/>
      <c r="K3">
        <f t="shared" ref="K3:K13" si="5">FIND(" ",E3,1) - 1</f>
        <v>5</v>
      </c>
      <c r="L3" t="str">
        <f t="shared" ref="L3:L13" si="6">LEFT(E3,K3)</f>
        <v>Delhi</v>
      </c>
    </row>
    <row r="4" spans="1:12">
      <c r="A4" s="1" t="s">
        <v>176</v>
      </c>
      <c r="B4" t="str">
        <f t="shared" si="0"/>
        <v>Mumbai</v>
      </c>
      <c r="C4" t="str">
        <f t="shared" si="1"/>
        <v>400088</v>
      </c>
      <c r="D4" t="str">
        <f t="shared" si="2"/>
        <v>bai</v>
      </c>
      <c r="E4" s="1" t="s">
        <v>177</v>
      </c>
      <c r="F4" t="str">
        <f t="shared" si="3"/>
        <v>Pune</v>
      </c>
      <c r="G4">
        <f t="shared" si="4"/>
        <v>4</v>
      </c>
      <c r="I4" s="1"/>
      <c r="K4">
        <f t="shared" si="5"/>
        <v>4</v>
      </c>
      <c r="L4" t="str">
        <f t="shared" si="6"/>
        <v>Pune</v>
      </c>
    </row>
    <row r="5" spans="1:12">
      <c r="A5" s="1" t="s">
        <v>178</v>
      </c>
      <c r="B5" t="str">
        <f t="shared" si="0"/>
        <v>Mumbai</v>
      </c>
      <c r="C5" t="str">
        <f t="shared" si="1"/>
        <v>400089</v>
      </c>
      <c r="D5" t="str">
        <f t="shared" si="2"/>
        <v>bai</v>
      </c>
      <c r="E5" s="1" t="s">
        <v>179</v>
      </c>
      <c r="F5" t="str">
        <f t="shared" si="3"/>
        <v>Chennai</v>
      </c>
      <c r="G5">
        <f t="shared" si="4"/>
        <v>7</v>
      </c>
      <c r="I5" s="1"/>
      <c r="K5">
        <f t="shared" si="5"/>
        <v>7</v>
      </c>
      <c r="L5" t="str">
        <f t="shared" si="6"/>
        <v>Chennai</v>
      </c>
    </row>
    <row r="6" spans="1:12">
      <c r="A6" s="1" t="s">
        <v>180</v>
      </c>
      <c r="B6" t="str">
        <f t="shared" si="0"/>
        <v>Mumbai</v>
      </c>
      <c r="C6" t="str">
        <f t="shared" si="1"/>
        <v>400090</v>
      </c>
      <c r="D6" t="str">
        <f t="shared" si="2"/>
        <v>bai</v>
      </c>
      <c r="E6" s="1" t="s">
        <v>181</v>
      </c>
      <c r="F6" t="str">
        <f t="shared" si="3"/>
        <v>Alhabad</v>
      </c>
      <c r="G6">
        <f t="shared" si="4"/>
        <v>7</v>
      </c>
      <c r="I6" s="1"/>
      <c r="K6">
        <f t="shared" si="5"/>
        <v>7</v>
      </c>
      <c r="L6" t="str">
        <f t="shared" si="6"/>
        <v>Alhabad</v>
      </c>
    </row>
    <row r="7" spans="1:12">
      <c r="A7" s="1" t="s">
        <v>182</v>
      </c>
      <c r="B7" t="str">
        <f t="shared" si="0"/>
        <v>Mumbai</v>
      </c>
      <c r="C7" t="str">
        <f t="shared" si="1"/>
        <v>400091</v>
      </c>
      <c r="D7" t="str">
        <f t="shared" si="2"/>
        <v>bai</v>
      </c>
      <c r="E7" s="1" t="s">
        <v>183</v>
      </c>
      <c r="F7" t="str">
        <f t="shared" si="3"/>
        <v>Surat</v>
      </c>
      <c r="G7">
        <f t="shared" si="4"/>
        <v>5</v>
      </c>
      <c r="I7" s="1"/>
      <c r="K7">
        <f t="shared" si="5"/>
        <v>5</v>
      </c>
      <c r="L7" t="str">
        <f t="shared" si="6"/>
        <v>Surat</v>
      </c>
    </row>
    <row r="8" spans="1:12">
      <c r="A8" s="1" t="s">
        <v>184</v>
      </c>
      <c r="B8" t="str">
        <f t="shared" si="0"/>
        <v>Mumbai</v>
      </c>
      <c r="C8" t="str">
        <f t="shared" si="1"/>
        <v>400092</v>
      </c>
      <c r="D8" t="str">
        <f t="shared" si="2"/>
        <v>bai</v>
      </c>
      <c r="E8" s="1" t="s">
        <v>185</v>
      </c>
      <c r="F8" t="str">
        <f t="shared" si="3"/>
        <v>Ahmedabad</v>
      </c>
      <c r="G8">
        <f t="shared" si="4"/>
        <v>9</v>
      </c>
      <c r="I8" s="1"/>
      <c r="K8">
        <f t="shared" si="5"/>
        <v>9</v>
      </c>
      <c r="L8" t="str">
        <f t="shared" si="6"/>
        <v>Ahmedabad</v>
      </c>
    </row>
    <row r="9" spans="1:12">
      <c r="A9" s="1" t="s">
        <v>186</v>
      </c>
      <c r="B9" t="str">
        <f t="shared" si="0"/>
        <v>Mumbai</v>
      </c>
      <c r="C9" t="str">
        <f t="shared" si="1"/>
        <v>400093</v>
      </c>
      <c r="D9" t="str">
        <f t="shared" si="2"/>
        <v>bai</v>
      </c>
      <c r="E9" s="1" t="s">
        <v>187</v>
      </c>
      <c r="F9" t="str">
        <f t="shared" si="3"/>
        <v>Punji</v>
      </c>
      <c r="G9">
        <f t="shared" si="4"/>
        <v>5</v>
      </c>
      <c r="I9" s="1"/>
      <c r="K9">
        <f t="shared" si="5"/>
        <v>5</v>
      </c>
      <c r="L9" t="str">
        <f t="shared" si="6"/>
        <v>Punji</v>
      </c>
    </row>
    <row r="10" spans="1:12">
      <c r="A10" s="1" t="s">
        <v>188</v>
      </c>
      <c r="B10" t="str">
        <f t="shared" si="0"/>
        <v>Mumbai</v>
      </c>
      <c r="C10" t="str">
        <f t="shared" si="1"/>
        <v>400094</v>
      </c>
      <c r="D10" t="str">
        <f t="shared" si="2"/>
        <v>bai</v>
      </c>
      <c r="E10" s="1" t="s">
        <v>189</v>
      </c>
      <c r="F10" t="str">
        <f t="shared" si="3"/>
        <v>Bhopal</v>
      </c>
      <c r="G10">
        <f t="shared" si="4"/>
        <v>6</v>
      </c>
      <c r="I10" s="1"/>
      <c r="K10">
        <f t="shared" si="5"/>
        <v>6</v>
      </c>
      <c r="L10" t="str">
        <f t="shared" si="6"/>
        <v>Bhopal</v>
      </c>
    </row>
    <row r="11" spans="1:12">
      <c r="A11" s="1" t="s">
        <v>190</v>
      </c>
      <c r="B11" t="str">
        <f t="shared" si="0"/>
        <v>Mumbai</v>
      </c>
      <c r="C11" t="str">
        <f t="shared" si="1"/>
        <v>400095</v>
      </c>
      <c r="D11" t="str">
        <f t="shared" si="2"/>
        <v>bai</v>
      </c>
      <c r="E11" s="1" t="s">
        <v>191</v>
      </c>
      <c r="F11" t="str">
        <f t="shared" si="3"/>
        <v>Ranchi</v>
      </c>
      <c r="G11">
        <f t="shared" si="4"/>
        <v>6</v>
      </c>
      <c r="I11" s="1"/>
      <c r="K11">
        <f t="shared" si="5"/>
        <v>6</v>
      </c>
      <c r="L11" t="str">
        <f t="shared" si="6"/>
        <v>Ranchi</v>
      </c>
    </row>
    <row r="12" spans="1:12">
      <c r="A12" s="1" t="s">
        <v>192</v>
      </c>
      <c r="B12" t="str">
        <f t="shared" si="0"/>
        <v>Mumbai</v>
      </c>
      <c r="C12" t="str">
        <f t="shared" si="1"/>
        <v>400096</v>
      </c>
      <c r="D12" t="str">
        <f t="shared" si="2"/>
        <v>bai</v>
      </c>
      <c r="E12" s="1" t="s">
        <v>193</v>
      </c>
      <c r="F12" t="str">
        <f t="shared" si="3"/>
        <v>Amrutsar</v>
      </c>
      <c r="G12">
        <f t="shared" si="4"/>
        <v>8</v>
      </c>
      <c r="I12" s="1"/>
      <c r="K12">
        <f t="shared" si="5"/>
        <v>8</v>
      </c>
      <c r="L12" t="str">
        <f t="shared" si="6"/>
        <v>Amrutsar</v>
      </c>
    </row>
    <row r="13" spans="1:12">
      <c r="A13" s="1" t="s">
        <v>194</v>
      </c>
      <c r="B13" t="str">
        <f t="shared" si="0"/>
        <v>Mumbai</v>
      </c>
      <c r="C13" t="str">
        <f t="shared" si="1"/>
        <v>400097</v>
      </c>
      <c r="D13" t="str">
        <f t="shared" si="2"/>
        <v>bai</v>
      </c>
      <c r="E13" s="1" t="s">
        <v>195</v>
      </c>
      <c r="F13" t="str">
        <f t="shared" si="3"/>
        <v>Kolkatta</v>
      </c>
      <c r="G13">
        <f t="shared" si="4"/>
        <v>8</v>
      </c>
      <c r="I13" s="1"/>
      <c r="K13">
        <f t="shared" si="5"/>
        <v>8</v>
      </c>
      <c r="L13" t="str">
        <f t="shared" si="6"/>
        <v>Kolkatta</v>
      </c>
    </row>
    <row r="15" spans="1:12">
      <c r="K15" t="s">
        <v>196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"/>
  <sheetViews>
    <sheetView zoomScale="265" zoomScaleNormal="265" workbookViewId="0">
      <selection activeCell="E9" sqref="E9"/>
    </sheetView>
  </sheetViews>
  <sheetFormatPr defaultRowHeight="14.45"/>
  <cols>
    <col min="1" max="1" width="12.7109375" bestFit="1" customWidth="1"/>
    <col min="2" max="2" width="19" customWidth="1"/>
    <col min="3" max="3" width="10" bestFit="1" customWidth="1"/>
  </cols>
  <sheetData>
    <row r="1" spans="1:6" ht="21" customHeight="1">
      <c r="A1" s="75" t="s">
        <v>197</v>
      </c>
      <c r="B1" s="75"/>
      <c r="C1" s="75"/>
      <c r="D1" s="38"/>
      <c r="E1" s="38"/>
      <c r="F1" s="38"/>
    </row>
    <row r="2" spans="1:6">
      <c r="A2" s="41" t="s">
        <v>198</v>
      </c>
      <c r="B2" s="41" t="s">
        <v>199</v>
      </c>
      <c r="C2" s="41" t="s">
        <v>200</v>
      </c>
    </row>
    <row r="3" spans="1:6" ht="17.25" customHeight="1">
      <c r="A3" s="42" t="s">
        <v>35</v>
      </c>
      <c r="B3" s="43">
        <v>3</v>
      </c>
      <c r="C3" s="44" t="str">
        <f>REPT("*",B3)</f>
        <v>***</v>
      </c>
    </row>
    <row r="4" spans="1:6">
      <c r="A4" s="42" t="s">
        <v>34</v>
      </c>
      <c r="B4" s="43">
        <v>5</v>
      </c>
      <c r="C4" s="44" t="str">
        <f>REPT("*",B4)</f>
        <v>*****</v>
      </c>
    </row>
    <row r="5" spans="1:6">
      <c r="A5" s="42" t="s">
        <v>201</v>
      </c>
      <c r="B5" s="43">
        <v>3</v>
      </c>
      <c r="C5" s="44" t="str">
        <f>REPT("*",B5)</f>
        <v>***</v>
      </c>
    </row>
    <row r="6" spans="1:6">
      <c r="A6" s="42" t="s">
        <v>202</v>
      </c>
      <c r="B6" s="43">
        <v>2</v>
      </c>
      <c r="C6" s="44" t="str">
        <f>REPT("*",B6)</f>
        <v>**</v>
      </c>
    </row>
    <row r="7" spans="1:6">
      <c r="A7" s="42" t="s">
        <v>203</v>
      </c>
      <c r="B7" s="43">
        <v>1</v>
      </c>
      <c r="C7" s="44" t="str">
        <f>REPT("*",B7)</f>
        <v>*</v>
      </c>
    </row>
    <row r="8" spans="1:6">
      <c r="E8" t="s">
        <v>204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"/>
  <sheetViews>
    <sheetView zoomScale="250" zoomScaleNormal="250" workbookViewId="0">
      <selection activeCell="B6" sqref="B6"/>
    </sheetView>
  </sheetViews>
  <sheetFormatPr defaultRowHeight="14.45"/>
  <cols>
    <col min="1" max="1" width="19.5703125" customWidth="1"/>
    <col min="2" max="2" width="20.28515625" customWidth="1"/>
    <col min="4" max="4" width="13.5703125" bestFit="1" customWidth="1"/>
    <col min="6" max="6" width="16.85546875" bestFit="1" customWidth="1"/>
    <col min="7" max="7" width="18" bestFit="1" customWidth="1"/>
  </cols>
  <sheetData>
    <row r="1" spans="1:7" ht="21" customHeight="1">
      <c r="A1" s="76" t="s">
        <v>205</v>
      </c>
      <c r="B1" s="77"/>
      <c r="C1" s="38"/>
      <c r="D1" s="38"/>
      <c r="E1" s="38"/>
    </row>
    <row r="2" spans="1:7" ht="15">
      <c r="A2" s="39" t="s">
        <v>206</v>
      </c>
      <c r="B2" s="39" t="s">
        <v>207</v>
      </c>
      <c r="F2" s="39" t="s">
        <v>206</v>
      </c>
      <c r="G2" s="39" t="s">
        <v>207</v>
      </c>
    </row>
    <row r="3" spans="1:7" ht="17.25" customHeight="1">
      <c r="A3" s="40" t="s">
        <v>208</v>
      </c>
      <c r="B3" s="40" t="str">
        <f>SUBSTITUTE(A3,"-","")</f>
        <v>9812345678</v>
      </c>
      <c r="F3" s="40" t="s">
        <v>208</v>
      </c>
      <c r="G3" s="40" t="str">
        <f>SUBSTITUTE(F3,"-","")</f>
        <v>9812345678</v>
      </c>
    </row>
    <row r="4" spans="1:7" ht="15">
      <c r="A4" s="40" t="s">
        <v>209</v>
      </c>
      <c r="B4" s="40" t="str">
        <f>SUBSTITUTE(A4,", ","-")</f>
        <v>MUMBAI-400086</v>
      </c>
      <c r="F4" s="40" t="s">
        <v>209</v>
      </c>
      <c r="G4" s="40" t="str">
        <f>SUBSTITUTE(F4,", ","-")</f>
        <v>MUMBAI-400086</v>
      </c>
    </row>
    <row r="5" spans="1:7" ht="15">
      <c r="A5" s="40" t="s">
        <v>210</v>
      </c>
      <c r="B5" s="40" t="str">
        <f>SUBSTITUTE(A5,"-","")</f>
        <v>9812121212</v>
      </c>
      <c r="D5" t="str">
        <f>SUBSTITUTE(A5,"-","")</f>
        <v>9812121212</v>
      </c>
      <c r="F5" s="40" t="s">
        <v>210</v>
      </c>
      <c r="G5" s="40" t="str">
        <f>SUBSTITUTE(F5,"-","")</f>
        <v>9812121212</v>
      </c>
    </row>
    <row r="6" spans="1:7" ht="15">
      <c r="A6" s="40" t="s">
        <v>211</v>
      </c>
      <c r="B6" s="40" t="str">
        <f>SUBSTITUTE(A6,",","-")</f>
        <v>DELHI-400001</v>
      </c>
      <c r="D6" t="str">
        <f>SUBSTITUTE(A6,",","-")</f>
        <v>DELHI-400001</v>
      </c>
      <c r="F6" s="40" t="s">
        <v>211</v>
      </c>
      <c r="G6" s="40" t="str">
        <f>SUBSTITUTE(F6,",","-")</f>
        <v>DELHI-400001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31"/>
  <sheetViews>
    <sheetView tabSelected="1" zoomScale="220" zoomScaleNormal="220" workbookViewId="0">
      <selection activeCell="M12" sqref="M12"/>
    </sheetView>
  </sheetViews>
  <sheetFormatPr defaultRowHeight="14.45"/>
  <cols>
    <col min="1" max="1" width="11.140625" customWidth="1"/>
    <col min="2" max="2" width="16" customWidth="1"/>
    <col min="3" max="3" width="11.5703125" bestFit="1" customWidth="1"/>
    <col min="4" max="4" width="16.140625" customWidth="1"/>
    <col min="5" max="5" width="22.5703125" bestFit="1" customWidth="1"/>
    <col min="6" max="6" width="12" bestFit="1" customWidth="1"/>
    <col min="7" max="7" width="10.42578125" customWidth="1"/>
    <col min="8" max="9" width="14" bestFit="1" customWidth="1"/>
    <col min="10" max="10" width="12.7109375" customWidth="1"/>
    <col min="11" max="11" width="14" bestFit="1" customWidth="1"/>
    <col min="12" max="12" width="13.5703125" bestFit="1" customWidth="1"/>
    <col min="14" max="14" width="16" bestFit="1" customWidth="1"/>
    <col min="15" max="15" width="15.140625" customWidth="1"/>
  </cols>
  <sheetData>
    <row r="1" spans="1:17" ht="17.45">
      <c r="A1" s="35" t="s">
        <v>212</v>
      </c>
      <c r="B1" s="65" t="s">
        <v>213</v>
      </c>
      <c r="C1" s="66"/>
      <c r="F1" s="34" t="s">
        <v>214</v>
      </c>
      <c r="G1" s="35" t="s">
        <v>215</v>
      </c>
      <c r="H1" s="35" t="s">
        <v>216</v>
      </c>
      <c r="I1" s="35" t="s">
        <v>217</v>
      </c>
      <c r="K1" s="67" t="s">
        <v>218</v>
      </c>
      <c r="L1" s="68"/>
      <c r="N1" s="69" t="s">
        <v>219</v>
      </c>
      <c r="O1" s="69"/>
    </row>
    <row r="2" spans="1:17" ht="15">
      <c r="B2" s="1" t="s">
        <v>220</v>
      </c>
      <c r="E2" s="33" t="s">
        <v>221</v>
      </c>
      <c r="F2" s="1">
        <v>1</v>
      </c>
      <c r="G2" s="28">
        <f>IPMT($C$3/12,F2,$C$5,-$C$4)</f>
        <v>833.33333333333337</v>
      </c>
      <c r="H2" s="28">
        <f>PPMT($C$3/12,F2,$C$5,-$C$4)</f>
        <v>9630.704765605522</v>
      </c>
      <c r="I2" s="28">
        <f>G2+H2</f>
        <v>10464.038098938856</v>
      </c>
      <c r="K2" s="63" t="s">
        <v>222</v>
      </c>
      <c r="L2" s="1"/>
      <c r="N2" s="1"/>
      <c r="O2" s="1"/>
    </row>
    <row r="3" spans="1:17">
      <c r="A3" s="32" t="s">
        <v>223</v>
      </c>
      <c r="B3" s="1" t="s">
        <v>224</v>
      </c>
      <c r="C3" s="31">
        <v>0.1</v>
      </c>
      <c r="D3" s="1" t="s">
        <v>225</v>
      </c>
      <c r="E3" s="1" t="s">
        <v>143</v>
      </c>
      <c r="F3" s="1">
        <v>2</v>
      </c>
      <c r="G3" s="28">
        <f>IPMT($C$3/12,F3,$C$5,-$C$4)</f>
        <v>753.07746028662052</v>
      </c>
      <c r="H3" s="28">
        <f t="shared" ref="H3:H11" si="0">PPMT($C$3/12,F3,$C$5,-$C$4)</f>
        <v>9710.9606386522355</v>
      </c>
      <c r="I3" s="28">
        <f>G3+H3</f>
        <v>10464.038098938856</v>
      </c>
      <c r="K3" s="1" t="s">
        <v>224</v>
      </c>
      <c r="L3" s="31">
        <v>0.1</v>
      </c>
      <c r="N3" s="1" t="s">
        <v>224</v>
      </c>
      <c r="O3" s="31">
        <v>0.06</v>
      </c>
    </row>
    <row r="4" spans="1:17">
      <c r="B4" s="32" t="s">
        <v>222</v>
      </c>
      <c r="C4" s="1">
        <v>100000</v>
      </c>
      <c r="D4" s="36" t="s">
        <v>226</v>
      </c>
      <c r="E4" s="1" t="s">
        <v>227</v>
      </c>
      <c r="F4" s="1">
        <v>3</v>
      </c>
      <c r="G4" s="28">
        <f>IPMT($C$3/12,F4,$C$5,-$C$4)</f>
        <v>672.15278829785188</v>
      </c>
      <c r="H4" s="28">
        <f t="shared" si="0"/>
        <v>9791.8853106410024</v>
      </c>
      <c r="I4" s="28">
        <f t="shared" ref="I3:I11" si="1">G4+H4</f>
        <v>10464.038098938854</v>
      </c>
      <c r="K4" s="1" t="s">
        <v>217</v>
      </c>
      <c r="L4" s="1">
        <v>20000</v>
      </c>
      <c r="N4" s="1" t="s">
        <v>217</v>
      </c>
      <c r="O4" s="1">
        <v>5500</v>
      </c>
    </row>
    <row r="5" spans="1:17">
      <c r="B5" s="32" t="s">
        <v>228</v>
      </c>
      <c r="C5" s="1">
        <v>10</v>
      </c>
      <c r="D5" s="36" t="s">
        <v>214</v>
      </c>
      <c r="E5" s="1" t="s">
        <v>229</v>
      </c>
      <c r="F5" s="1">
        <v>4</v>
      </c>
      <c r="G5" s="28">
        <f t="shared" ref="G5:G11" si="2">IPMT($C$3/12,F5,$C$5,-$C$4)</f>
        <v>590.55374404251017</v>
      </c>
      <c r="H5" s="28">
        <f t="shared" si="0"/>
        <v>9873.4843548963454</v>
      </c>
      <c r="I5" s="28">
        <f t="shared" si="1"/>
        <v>10464.038098938856</v>
      </c>
      <c r="K5" s="1" t="s">
        <v>230</v>
      </c>
      <c r="L5" s="1">
        <v>60</v>
      </c>
      <c r="N5" s="1" t="s">
        <v>230</v>
      </c>
      <c r="O5" s="1">
        <v>12</v>
      </c>
    </row>
    <row r="6" spans="1:17">
      <c r="C6" s="1"/>
      <c r="F6" s="1">
        <v>5</v>
      </c>
      <c r="G6" s="28">
        <f t="shared" si="2"/>
        <v>508.2747077517073</v>
      </c>
      <c r="H6" s="28">
        <f t="shared" si="0"/>
        <v>9955.763391187149</v>
      </c>
      <c r="I6" s="28">
        <f t="shared" si="1"/>
        <v>10464.038098938856</v>
      </c>
      <c r="Q6">
        <f>O4*O5</f>
        <v>66000</v>
      </c>
    </row>
    <row r="7" spans="1:17" ht="15">
      <c r="A7" s="1" t="s">
        <v>212</v>
      </c>
      <c r="B7" s="32" t="s">
        <v>217</v>
      </c>
      <c r="C7" s="37">
        <f>PMT(C3/12,C5,-C4)</f>
        <v>10464.038098938856</v>
      </c>
      <c r="D7" s="57">
        <f>PMT(C3/12,C5,-C4)</f>
        <v>10464.038098938856</v>
      </c>
      <c r="F7" s="1">
        <v>6</v>
      </c>
      <c r="G7" s="28">
        <f t="shared" si="2"/>
        <v>425.31001282514779</v>
      </c>
      <c r="H7" s="28">
        <f t="shared" si="0"/>
        <v>10038.728086113708</v>
      </c>
      <c r="I7" s="28">
        <f t="shared" si="1"/>
        <v>10464.038098938856</v>
      </c>
      <c r="K7" s="63" t="s">
        <v>222</v>
      </c>
      <c r="L7" s="30">
        <f>PV(L3/12,L5,-L4)</f>
        <v>941307.38047503715</v>
      </c>
      <c r="N7" s="1" t="s">
        <v>231</v>
      </c>
      <c r="O7" s="30">
        <f>FV(O3/12,O5,-O4)</f>
        <v>67845.593050947369</v>
      </c>
    </row>
    <row r="8" spans="1:17">
      <c r="A8" s="1" t="s">
        <v>232</v>
      </c>
      <c r="B8" s="32" t="s">
        <v>233</v>
      </c>
      <c r="C8" s="1">
        <f>C7*C5</f>
        <v>104640.38098938856</v>
      </c>
      <c r="D8" s="57">
        <f>D7*C5</f>
        <v>104640.38098938856</v>
      </c>
      <c r="E8" s="27"/>
      <c r="F8" s="1">
        <v>7</v>
      </c>
      <c r="G8" s="28">
        <f t="shared" si="2"/>
        <v>341.65394544086683</v>
      </c>
      <c r="H8" s="28">
        <f t="shared" si="0"/>
        <v>10122.384153497989</v>
      </c>
      <c r="I8" s="28">
        <f t="shared" si="1"/>
        <v>10464.038098938856</v>
      </c>
    </row>
    <row r="9" spans="1:17">
      <c r="A9" s="1" t="s">
        <v>118</v>
      </c>
      <c r="B9" s="32" t="s">
        <v>234</v>
      </c>
      <c r="C9" s="28">
        <f>C8-C4</f>
        <v>4640.3809893885627</v>
      </c>
      <c r="D9" s="57">
        <f>D8-C4</f>
        <v>4640.3809893885627</v>
      </c>
      <c r="E9" s="29"/>
      <c r="F9" s="1">
        <v>8</v>
      </c>
      <c r="G9" s="28">
        <f>IPMT($C$3/12,F9,$C$5,-$C$4)</f>
        <v>257.30074416171698</v>
      </c>
      <c r="H9" s="28">
        <f t="shared" si="0"/>
        <v>10206.73735477714</v>
      </c>
      <c r="I9" s="28">
        <f t="shared" si="1"/>
        <v>10464.038098938858</v>
      </c>
    </row>
    <row r="10" spans="1:17">
      <c r="F10" s="1">
        <v>9</v>
      </c>
      <c r="G10" s="28">
        <f>IPMT($C$3/12,F10,$C$5,-$C$4)</f>
        <v>172.24459953857416</v>
      </c>
      <c r="H10" s="28">
        <f t="shared" si="0"/>
        <v>10291.793499400283</v>
      </c>
      <c r="I10" s="28">
        <f t="shared" si="1"/>
        <v>10464.038098938856</v>
      </c>
    </row>
    <row r="11" spans="1:17">
      <c r="A11" t="s">
        <v>235</v>
      </c>
      <c r="C11" s="27"/>
      <c r="D11" t="s">
        <v>236</v>
      </c>
      <c r="F11" s="1">
        <v>10</v>
      </c>
      <c r="G11" s="28">
        <f t="shared" si="2"/>
        <v>86.47965371023848</v>
      </c>
      <c r="H11" s="28">
        <f t="shared" si="0"/>
        <v>10377.558445228618</v>
      </c>
      <c r="I11" s="28">
        <f t="shared" si="1"/>
        <v>10464.038098938858</v>
      </c>
    </row>
    <row r="12" spans="1:17">
      <c r="F12" s="1"/>
      <c r="G12" s="28">
        <f>SUM(G2:G11)</f>
        <v>4640.3809893885682</v>
      </c>
      <c r="H12" s="28">
        <f>SUM(H2:H11)</f>
        <v>100000</v>
      </c>
      <c r="I12" s="28">
        <f>SUM(I2:I11)</f>
        <v>104640.38098938856</v>
      </c>
    </row>
    <row r="13" spans="1:17">
      <c r="N13" t="s">
        <v>224</v>
      </c>
      <c r="O13" s="61">
        <v>0.06</v>
      </c>
    </row>
    <row r="14" spans="1:17">
      <c r="G14" s="58" t="s">
        <v>214</v>
      </c>
      <c r="H14" s="59" t="s">
        <v>215</v>
      </c>
      <c r="I14" s="58" t="s">
        <v>216</v>
      </c>
      <c r="J14" s="58" t="s">
        <v>217</v>
      </c>
      <c r="N14" t="s">
        <v>217</v>
      </c>
      <c r="O14">
        <v>5000</v>
      </c>
    </row>
    <row r="15" spans="1:17">
      <c r="D15" s="64" t="s">
        <v>237</v>
      </c>
      <c r="E15" s="64"/>
      <c r="G15" s="58" cm="1">
        <f t="array" ref="G15:G24">_xlfn.SEQUENCE(10)</f>
        <v>1</v>
      </c>
      <c r="H15" s="60">
        <f>IPMT($C$3/12,G15,$C$5,-$C$4)</f>
        <v>833.33333333333337</v>
      </c>
      <c r="I15" s="60">
        <f>PPMT($C$3/12,G15,$C$5,-$C$4)</f>
        <v>9630.704765605522</v>
      </c>
      <c r="J15" s="60">
        <f>H15+I15</f>
        <v>10464.038098938856</v>
      </c>
      <c r="N15" t="s">
        <v>230</v>
      </c>
      <c r="O15">
        <f>10*12</f>
        <v>120</v>
      </c>
    </row>
    <row r="16" spans="1:17">
      <c r="D16" s="27">
        <f>C4-H2</f>
        <v>90369.295234394478</v>
      </c>
      <c r="E16" s="27">
        <f>PMT(C3/12,9,-D16)</f>
        <v>10464.038098938856</v>
      </c>
      <c r="G16" s="58">
        <v>2</v>
      </c>
      <c r="H16" s="60">
        <f t="shared" ref="H16:H24" si="3">IPMT($C$3/12,G16,$C$5,-$C$4)</f>
        <v>753.07746028662052</v>
      </c>
      <c r="I16" s="60">
        <f t="shared" ref="I16:I24" si="4">PPMT($C$3/12,G16,$C$5,-$C$4)</f>
        <v>9710.9606386522355</v>
      </c>
      <c r="J16" s="60">
        <f t="shared" ref="J16:J25" si="5">H16+I16</f>
        <v>10464.038098938856</v>
      </c>
    </row>
    <row r="17" spans="2:15">
      <c r="D17" s="27">
        <f>D16-H3</f>
        <v>80658.334595742243</v>
      </c>
      <c r="E17" s="27">
        <f>PMT(C3/12,8,-D17)</f>
        <v>10464.038098938858</v>
      </c>
      <c r="G17" s="58">
        <v>3</v>
      </c>
      <c r="H17" s="60">
        <f t="shared" si="3"/>
        <v>672.15278829785188</v>
      </c>
      <c r="I17" s="60">
        <f t="shared" si="4"/>
        <v>9791.8853106410024</v>
      </c>
      <c r="J17" s="60">
        <f t="shared" si="5"/>
        <v>10464.038098938854</v>
      </c>
      <c r="N17" t="s">
        <v>238</v>
      </c>
      <c r="O17" s="57">
        <f>FV(O13/12,O15,-O14)</f>
        <v>819396.73403228028</v>
      </c>
    </row>
    <row r="18" spans="2:15">
      <c r="G18" s="58">
        <v>4</v>
      </c>
      <c r="H18" s="60">
        <f t="shared" si="3"/>
        <v>590.55374404251017</v>
      </c>
      <c r="I18" s="60">
        <f t="shared" si="4"/>
        <v>9873.4843548963454</v>
      </c>
      <c r="J18" s="60">
        <f t="shared" si="5"/>
        <v>10464.038098938856</v>
      </c>
      <c r="N18" t="s">
        <v>239</v>
      </c>
      <c r="O18">
        <f>O14*O15</f>
        <v>600000</v>
      </c>
    </row>
    <row r="19" spans="2:15">
      <c r="G19" s="58">
        <v>5</v>
      </c>
      <c r="H19" s="60">
        <f t="shared" si="3"/>
        <v>508.2747077517073</v>
      </c>
      <c r="I19" s="60">
        <f t="shared" si="4"/>
        <v>9955.763391187149</v>
      </c>
      <c r="J19" s="60">
        <f t="shared" si="5"/>
        <v>10464.038098938856</v>
      </c>
      <c r="N19" t="s">
        <v>240</v>
      </c>
      <c r="O19" s="57">
        <f>O17-O18</f>
        <v>219396.73403228028</v>
      </c>
    </row>
    <row r="20" spans="2:15" ht="15">
      <c r="B20" s="62" t="s">
        <v>241</v>
      </c>
      <c r="C20" s="62" t="s">
        <v>215</v>
      </c>
      <c r="D20" s="62" t="s">
        <v>216</v>
      </c>
      <c r="E20" s="62" t="s">
        <v>217</v>
      </c>
      <c r="G20" s="58">
        <v>6</v>
      </c>
      <c r="H20" s="60">
        <f t="shared" si="3"/>
        <v>425.31001282514779</v>
      </c>
      <c r="I20" s="60">
        <f t="shared" si="4"/>
        <v>10038.728086113708</v>
      </c>
      <c r="J20" s="60">
        <f t="shared" si="5"/>
        <v>10464.038098938856</v>
      </c>
    </row>
    <row r="21" spans="2:15">
      <c r="B21">
        <v>1</v>
      </c>
      <c r="C21" s="27">
        <f>IPMT($C$3/12, B21,$C$5,-$C$4)</f>
        <v>833.33333333333337</v>
      </c>
      <c r="D21" s="27">
        <f>PPMT($C$3/12,B21,$C$5,-$C$4)</f>
        <v>9630.704765605522</v>
      </c>
      <c r="E21" s="27">
        <f>C21+D21</f>
        <v>10464.038098938856</v>
      </c>
      <c r="G21" s="58">
        <v>7</v>
      </c>
      <c r="H21" s="60">
        <f t="shared" si="3"/>
        <v>341.65394544086683</v>
      </c>
      <c r="I21" s="60">
        <f t="shared" si="4"/>
        <v>10122.384153497989</v>
      </c>
      <c r="J21" s="60">
        <f t="shared" si="5"/>
        <v>10464.038098938856</v>
      </c>
    </row>
    <row r="22" spans="2:15">
      <c r="B22">
        <v>2</v>
      </c>
      <c r="C22" s="27">
        <f t="shared" ref="C22:C30" si="6">IPMT($C$3/12, B22,$C$5,-$C$4)</f>
        <v>753.07746028662052</v>
      </c>
      <c r="D22" s="27">
        <f t="shared" ref="D22:D30" si="7">PPMT($C$3/12,B22,$C$5,-$C$4)</f>
        <v>9710.9606386522355</v>
      </c>
      <c r="E22" s="27">
        <f t="shared" ref="E22:E30" si="8">C22+D22</f>
        <v>10464.038098938856</v>
      </c>
      <c r="G22" s="58">
        <v>8</v>
      </c>
      <c r="H22" s="60">
        <f t="shared" si="3"/>
        <v>257.30074416171698</v>
      </c>
      <c r="I22" s="60">
        <f t="shared" si="4"/>
        <v>10206.73735477714</v>
      </c>
      <c r="J22" s="60">
        <f t="shared" si="5"/>
        <v>10464.038098938858</v>
      </c>
    </row>
    <row r="23" spans="2:15">
      <c r="B23">
        <v>3</v>
      </c>
      <c r="C23" s="27">
        <f t="shared" si="6"/>
        <v>672.15278829785188</v>
      </c>
      <c r="D23" s="27">
        <f t="shared" si="7"/>
        <v>9791.8853106410024</v>
      </c>
      <c r="E23" s="27">
        <f t="shared" si="8"/>
        <v>10464.038098938854</v>
      </c>
      <c r="G23" s="58">
        <v>9</v>
      </c>
      <c r="H23" s="60">
        <f t="shared" si="3"/>
        <v>172.24459953857416</v>
      </c>
      <c r="I23" s="60">
        <f t="shared" si="4"/>
        <v>10291.793499400283</v>
      </c>
      <c r="J23" s="60">
        <f t="shared" si="5"/>
        <v>10464.038098938856</v>
      </c>
    </row>
    <row r="24" spans="2:15">
      <c r="B24">
        <v>4</v>
      </c>
      <c r="C24" s="27">
        <f t="shared" si="6"/>
        <v>590.55374404251017</v>
      </c>
      <c r="D24" s="27">
        <f t="shared" si="7"/>
        <v>9873.4843548963454</v>
      </c>
      <c r="E24" s="27">
        <f t="shared" si="8"/>
        <v>10464.038098938856</v>
      </c>
      <c r="G24" s="58">
        <v>10</v>
      </c>
      <c r="H24" s="60">
        <f t="shared" si="3"/>
        <v>86.47965371023848</v>
      </c>
      <c r="I24" s="60">
        <f t="shared" si="4"/>
        <v>10377.558445228618</v>
      </c>
      <c r="J24" s="60">
        <f t="shared" si="5"/>
        <v>10464.038098938858</v>
      </c>
    </row>
    <row r="25" spans="2:15">
      <c r="B25">
        <v>5</v>
      </c>
      <c r="C25" s="27">
        <f t="shared" si="6"/>
        <v>508.2747077517073</v>
      </c>
      <c r="D25" s="27">
        <f t="shared" si="7"/>
        <v>9955.763391187149</v>
      </c>
      <c r="E25" s="27">
        <f t="shared" si="8"/>
        <v>10464.038098938856</v>
      </c>
      <c r="G25" s="58"/>
      <c r="H25" s="60">
        <f>SUM(H15:H24)</f>
        <v>4640.3809893885682</v>
      </c>
      <c r="I25" s="60">
        <f>SUM(I15:I24)</f>
        <v>100000</v>
      </c>
      <c r="J25" s="60">
        <f t="shared" si="5"/>
        <v>104640.38098938856</v>
      </c>
    </row>
    <row r="26" spans="2:15">
      <c r="B26">
        <v>6</v>
      </c>
      <c r="C26" s="27">
        <f t="shared" si="6"/>
        <v>425.31001282514779</v>
      </c>
      <c r="D26" s="27">
        <f t="shared" si="7"/>
        <v>10038.728086113708</v>
      </c>
      <c r="E26" s="27">
        <f t="shared" si="8"/>
        <v>10464.038098938856</v>
      </c>
    </row>
    <row r="27" spans="2:15">
      <c r="B27">
        <v>7</v>
      </c>
      <c r="C27" s="27">
        <f t="shared" si="6"/>
        <v>341.65394544086683</v>
      </c>
      <c r="D27" s="27">
        <f t="shared" si="7"/>
        <v>10122.384153497989</v>
      </c>
      <c r="E27" s="27">
        <f t="shared" si="8"/>
        <v>10464.038098938856</v>
      </c>
    </row>
    <row r="28" spans="2:15">
      <c r="B28">
        <v>8</v>
      </c>
      <c r="C28" s="27">
        <f t="shared" si="6"/>
        <v>257.30074416171698</v>
      </c>
      <c r="D28" s="27">
        <f t="shared" si="7"/>
        <v>10206.73735477714</v>
      </c>
      <c r="E28" s="27">
        <f t="shared" si="8"/>
        <v>10464.038098938858</v>
      </c>
    </row>
    <row r="29" spans="2:15">
      <c r="B29">
        <v>9</v>
      </c>
      <c r="C29" s="27">
        <f t="shared" si="6"/>
        <v>172.24459953857416</v>
      </c>
      <c r="D29" s="27">
        <f t="shared" si="7"/>
        <v>10291.793499400283</v>
      </c>
      <c r="E29" s="27">
        <f t="shared" si="8"/>
        <v>10464.038098938856</v>
      </c>
      <c r="G29" t="s">
        <v>242</v>
      </c>
    </row>
    <row r="30" spans="2:15">
      <c r="B30">
        <v>10</v>
      </c>
      <c r="C30" s="27">
        <f t="shared" si="6"/>
        <v>86.47965371023848</v>
      </c>
      <c r="D30" s="27">
        <f t="shared" si="7"/>
        <v>10377.558445228618</v>
      </c>
      <c r="E30" s="27">
        <f t="shared" si="8"/>
        <v>10464.038098938858</v>
      </c>
      <c r="G30" t="s">
        <v>243</v>
      </c>
    </row>
    <row r="31" spans="2:15">
      <c r="C31" s="27">
        <f>SUM(C21:C30)</f>
        <v>4640.3809893885682</v>
      </c>
      <c r="D31" s="27">
        <f>SUM(D21:D30)</f>
        <v>100000</v>
      </c>
      <c r="E31" s="27">
        <f>SUM(E21:E30)</f>
        <v>104640.38098938856</v>
      </c>
    </row>
  </sheetData>
  <mergeCells count="4">
    <mergeCell ref="D15:E15"/>
    <mergeCell ref="B1:C1"/>
    <mergeCell ref="K1:L1"/>
    <mergeCell ref="N1:O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</dc:creator>
  <cp:keywords/>
  <dc:description/>
  <cp:lastModifiedBy/>
  <cp:revision/>
  <dcterms:created xsi:type="dcterms:W3CDTF">2019-10-18T01:12:53Z</dcterms:created>
  <dcterms:modified xsi:type="dcterms:W3CDTF">2026-07-06T22:00:46Z</dcterms:modified>
  <cp:category/>
  <cp:contentStatus/>
</cp:coreProperties>
</file>