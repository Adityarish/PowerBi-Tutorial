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shal kamalpur\Desktop\1PowerBi-Adi\"/>
    </mc:Choice>
  </mc:AlternateContent>
  <xr:revisionPtr revIDLastSave="0" documentId="8_{BF53EE44-F638-48A0-822E-8720FBEF82B9}" xr6:coauthVersionLast="47" xr6:coauthVersionMax="47" xr10:uidLastSave="{00000000-0000-0000-0000-000000000000}"/>
  <bookViews>
    <workbookView xWindow="28680" yWindow="-7920" windowWidth="29040" windowHeight="15720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6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<sst xmlns="http://schemas.openxmlformats.org/spreadsheetml/2006/main" count="2444" uniqueCount="1012">
  <si>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</si>
  <si>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</si>
  <si>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</si>
  <si>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</si>
  <si>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</si>
  <si>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</si>
  <si>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</si>
  <si>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</si>
  <si>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</si>
  <si>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</si>
  <si>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</si>
  <si>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</si>
  <si>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</si>
  <si>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</si>
  <si>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</si>
  <si>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</si>
  <si>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</si>
  <si>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</si>
  <si>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</si>
  <si>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</si>
  <si>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</si>
  <si>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</si>
  <si>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</si>
  <si>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</si>
  <si>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</si>
  <si>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</si>
  <si>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</si>
  <si>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</si>
  <si>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</si>
  <si>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</si>
  <si>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</si>
  <si>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</si>
  <si>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</si>
  <si>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</si>
  <si>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</si>
  <si>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</si>
  <si>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</si>
  <si>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</si>
  <si>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</si>
  <si>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</si>
  <si>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</si>
  <si>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</si>
  <si>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</si>
  <si>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</si>
  <si>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</si>
  <si>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</si>
  <si>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</si>
  <si>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</si>
  <si>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</si>
  <si>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</si>
  <si>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</si>
  <si>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</si>
  <si>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</si>
  <si>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</si>
  <si>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</si>
  <si>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</si>
  <si>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</si>
  <si>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</si>
  <si>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</si>
  <si>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</si>
  <si>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</si>
  <si>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</si>
  <si>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</si>
  <si>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</si>
  <si>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</si>
  <si>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</si>
  <si>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</si>
  <si>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</si>
  <si>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</si>
  <si>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</si>
  <si>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</si>
  <si>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</si>
  <si>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</si>
  <si>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</si>
  <si>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</si>
  <si>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</si>
  <si>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</si>
  <si>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</si>
  <si>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</si>
  <si>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</si>
  <si>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</si>
  <si>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</si>
  <si>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</si>
  <si>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</si>
  <si>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</si>
  <si>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</si>
  <si>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</si>
  <si>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</si>
  <si>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</si>
  <si>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</si>
  <si>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</si>
  <si>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</si>
  <si>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</si>
  <si>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</si>
  <si>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</si>
  <si>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</si>
  <si>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</si>
  <si>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</si>
  <si>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</si>
  <si>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</si>
  <si>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</si>
  <si>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</si>
  <si>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</si>
  <si>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</si>
  <si>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</si>
  <si>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</si>
  <si>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</si>
  <si>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</si>
  <si>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</si>
  <si>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</si>
  <si>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</si>
  <si>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</si>
  <si>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</si>
  <si>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</si>
  <si>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</si>
  <si>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</si>
  <si>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</si>
  <si>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</si>
  <si>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</si>
  <si>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</si>
  <si>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</si>
  <si>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</si>
  <si>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</si>
  <si>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</si>
  <si>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</si>
  <si>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</si>
  <si>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</si>
  <si>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</si>
  <si>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</si>
  <si>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</si>
  <si>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</si>
  <si>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</si>
  <si>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</si>
  <si>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</si>
  <si>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</si>
  <si>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</si>
  <si>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</si>
  <si>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</si>
  <si>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</si>
  <si>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</si>
  <si>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</si>
  <si>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</si>
  <si>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</si>
  <si>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</si>
  <si>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</si>
  <si>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</si>
  <si>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</si>
  <si>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</si>
  <si>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</si>
  <si>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</si>
  <si>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</si>
  <si>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</si>
  <si>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</si>
  <si>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</si>
  <si>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</si>
  <si>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</si>
  <si>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</si>
  <si>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</si>
  <si>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</si>
  <si>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</si>
  <si>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</si>
  <si>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</si>
  <si>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</si>
  <si>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</si>
  <si>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</si>
  <si>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</si>
  <si>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</si>
  <si>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</si>
  <si>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</si>
  <si>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</si>
  <si>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</si>
  <si>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</si>
  <si>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</si>
  <si>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</si>
  <si>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</si>
  <si>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</si>
  <si>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</si>
  <si>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</si>
  <si>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</si>
  <si>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</si>
  <si>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</si>
  <si>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</si>
  <si>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</si>
  <si>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</si>
  <si>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</si>
  <si>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</si>
  <si>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</si>
  <si>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</si>
  <si>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</si>
  <si>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</si>
  <si>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</si>
  <si>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</si>
  <si>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</si>
  <si>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</si>
  <si>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</si>
  <si>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</si>
  <si>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</si>
  <si>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</si>
  <si>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</si>
  <si>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</si>
  <si>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</si>
  <si>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</si>
  <si>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</si>
  <si>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</si>
  <si>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</si>
  <si>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</si>
  <si>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</si>
  <si>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</si>
  <si>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</si>
  <si>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</si>
  <si>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</si>
  <si>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</si>
  <si>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</si>
  <si>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</si>
  <si>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</si>
  <si>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</si>
  <si>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</si>
  <si>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</si>
  <si>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</si>
  <si>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</si>
  <si>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</si>
  <si>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</si>
  <si>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</si>
  <si>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</si>
  <si>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</si>
  <si>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</si>
  <si>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</si>
  <si>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</si>
  <si>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</si>
  <si>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</si>
  <si>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</si>
  <si>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</si>
  <si>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</si>
  <si>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</si>
  <si>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</si>
  <si>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</si>
  <si>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</si>
  <si>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</si>
  <si>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</si>
  <si>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</si>
  <si>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</si>
  <si>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</si>
  <si>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</si>
  <si>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</si>
  <si>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</si>
  <si>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</si>
  <si>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</si>
  <si>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</si>
  <si>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</si>
  <si>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</si>
  <si>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</si>
  <si>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</si>
  <si>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</si>
  <si>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</si>
  <si>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</si>
  <si>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</si>
  <si>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</si>
  <si>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</si>
  <si>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</si>
  <si>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</si>
  <si>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</si>
  <si>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</si>
  <si>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</si>
  <si>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</si>
  <si>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</si>
  <si>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</si>
  <si>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</si>
  <si>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</si>
  <si>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</si>
  <si>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</si>
  <si>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</si>
  <si>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</si>
  <si>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</si>
  <si>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</si>
  <si>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</si>
  <si>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</si>
  <si>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</si>
  <si>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</si>
  <si>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</si>
  <si>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</si>
  <si>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</si>
  <si>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</si>
  <si>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</si>
  <si>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</si>
  <si>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</si>
  <si>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</si>
  <si>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</si>
  <si>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</si>
  <si>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</si>
  <si>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</si>
  <si>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</si>
  <si>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</si>
  <si>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</si>
  <si>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</si>
  <si>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</si>
  <si>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</si>
  <si>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</si>
  <si>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</si>
  <si>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</si>
  <si>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</si>
  <si>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</si>
  <si>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</si>
  <si>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</si>
  <si>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</si>
  <si>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</si>
  <si>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</si>
  <si>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</si>
  <si>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</si>
  <si>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</si>
  <si>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</si>
  <si>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</si>
  <si>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</si>
  <si>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</si>
  <si>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</si>
  <si>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</si>
  <si>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</si>
  <si>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</si>
  <si>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</si>
  <si>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</si>
  <si>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</si>
  <si>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</si>
  <si>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</si>
  <si>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</si>
  <si>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</si>
  <si>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</si>
  <si>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</si>
  <si>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</si>
  <si>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</si>
  <si>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</si>
  <si>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</si>
  <si>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</si>
  <si>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</si>
  <si>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</si>
  <si>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</si>
  <si>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</si>
  <si>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</si>
  <si>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</si>
  <si>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</si>
  <si>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</si>
  <si>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</si>
  <si>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</si>
  <si>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</si>
  <si>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</si>
  <si>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</si>
  <si>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</si>
  <si>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</si>
  <si>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</si>
  <si>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</si>
  <si>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</si>
  <si>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</si>
  <si>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</si>
  <si>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</si>
  <si>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</si>
  <si>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</si>
  <si>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</si>
  <si>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</si>
  <si>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</si>
  <si>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</si>
  <si>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</si>
  <si>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</si>
  <si>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</si>
  <si>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</si>
  <si>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</si>
  <si>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</si>
  <si>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</si>
  <si>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</si>
  <si>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</si>
  <si>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</si>
  <si>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</si>
  <si>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</si>
  <si>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</si>
  <si>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</si>
  <si>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</si>
  <si>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</si>
  <si>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</si>
  <si>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</si>
  <si>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</si>
  <si>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</si>
  <si>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</si>
  <si>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</si>
  <si>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</si>
  <si>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</si>
  <si>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</si>
  <si>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</si>
  <si>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</si>
  <si>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</si>
  <si>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</si>
  <si>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</si>
  <si>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</si>
  <si>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</si>
  <si>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</si>
  <si>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</si>
  <si>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</si>
  <si>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</si>
  <si>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</si>
  <si>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</si>
  <si>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</si>
  <si>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</si>
  <si>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</si>
  <si>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</si>
  <si>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</si>
  <si>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</si>
  <si>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</si>
  <si>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</si>
  <si>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</si>
  <si>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</si>
  <si>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</si>
  <si>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</si>
  <si>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</si>
  <si>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</si>
  <si>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</si>
  <si>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</si>
  <si>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</si>
  <si>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</si>
  <si>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</si>
  <si>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</si>
  <si>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</si>
  <si>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</si>
  <si>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</si>
  <si>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</si>
  <si>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</si>
  <si>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</si>
  <si>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</si>
  <si>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</si>
  <si>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</si>
  <si>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</si>
  <si>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</si>
  <si>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</si>
  <si>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</si>
  <si>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</si>
  <si>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</si>
  <si>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</si>
  <si>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</si>
  <si>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</si>
  <si>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</si>
  <si>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</si>
  <si>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</si>
  <si>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</si>
  <si>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</si>
  <si>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</si>
  <si>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</si>
  <si>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</si>
  <si>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</si>
  <si>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</si>
  <si>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</si>
  <si>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</si>
  <si>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</si>
  <si>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</si>
  <si>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</si>
  <si>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</si>
  <si>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</si>
  <si>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</si>
  <si>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</si>
  <si>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</si>
  <si>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</si>
  <si>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</si>
  <si>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</si>
  <si>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</si>
  <si>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</si>
  <si>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</si>
  <si>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</si>
  <si>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</si>
  <si>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</si>
  <si>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</si>
  <si>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</si>
  <si>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</si>
  <si>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</si>
  <si>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</si>
  <si>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</si>
  <si>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</si>
  <si>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</si>
  <si>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</si>
  <si>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</si>
  <si>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</si>
  <si>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</si>
  <si>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</si>
  <si>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</si>
  <si>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</si>
  <si>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</si>
  <si>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</si>
  <si>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</si>
  <si>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</si>
  <si>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</si>
  <si>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</si>
  <si>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</si>
  <si>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</si>
  <si>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</si>
  <si>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</si>
  <si>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</si>
  <si>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</si>
  <si>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</si>
  <si>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</si>
  <si>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</si>
  <si>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</si>
  <si>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</si>
  <si>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</si>
  <si>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</si>
  <si>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</si>
  <si>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</si>
  <si>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</si>
  <si>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</si>
  <si>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</si>
  <si>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</si>
  <si>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</si>
  <si>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</si>
  <si>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</si>
  <si>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</si>
  <si>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</si>
  <si>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</si>
  <si>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</si>
  <si>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</si>
  <si>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</si>
  <si>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</si>
  <si>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</si>
  <si>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</si>
  <si>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</si>
  <si>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</si>
  <si>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</si>
  <si>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</si>
  <si>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</si>
  <si>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</si>
  <si>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</si>
  <si>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</si>
  <si>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</si>
  <si>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</si>
  <si>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</si>
  <si>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</si>
  <si>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</si>
  <si>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</si>
  <si>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</si>
  <si>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</si>
  <si>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</si>
  <si>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</si>
  <si>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</si>
  <si>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</si>
  <si>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</si>
  <si>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</si>
  <si>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</si>
  <si>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</si>
  <si>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</si>
  <si>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</si>
  <si>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</si>
  <si>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</si>
  <si>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</si>
  <si>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</si>
  <si>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</si>
  <si>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</si>
  <si>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</si>
  <si>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</si>
  <si>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</si>
  <si>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</si>
  <si>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</si>
  <si>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</si>
  <si>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</si>
  <si>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</si>
  <si>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</si>
  <si>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</si>
  <si>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</si>
  <si>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</si>
  <si>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</si>
  <si>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</si>
  <si>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</si>
  <si>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</si>
  <si>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</si>
  <si>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</si>
  <si>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</si>
  <si>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</si>
  <si>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</si>
  <si>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</si>
  <si>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</si>
  <si>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</si>
  <si>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</si>
  <si>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</si>
  <si>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</si>
  <si>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</si>
  <si>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</si>
  <si>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</si>
  <si>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</si>
  <si>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</si>
  <si>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</si>
  <si>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</si>
  <si>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</si>
  <si>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</si>
  <si>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</si>
  <si>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</si>
  <si>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</si>
  <si>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</si>
  <si>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</si>
  <si>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</si>
  <si>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</si>
  <si>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</si>
  <si>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</si>
  <si>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</si>
  <si>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</si>
  <si>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</si>
  <si>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</si>
  <si>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</si>
  <si>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</si>
  <si>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</si>
  <si>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</si>
  <si>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</si>
  <si>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</si>
  <si>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</si>
  <si>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</si>
  <si>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</si>
  <si>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</si>
  <si>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</si>
  <si>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</si>
  <si>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</si>
  <si>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</si>
  <si>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</si>
  <si>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</si>
  <si>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</si>
  <si>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</si>
  <si>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</si>
  <si>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</si>
  <si>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</si>
  <si>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</si>
  <si>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</si>
  <si>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</si>
  <si>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</si>
  <si>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</si>
  <si>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</si>
  <si>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</si>
  <si>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</si>
  <si>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</si>
  <si>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</si>
  <si>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</si>
  <si>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</si>
  <si>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</si>
  <si>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</si>
  <si>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</si>
  <si>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</si>
  <si>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</si>
  <si>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</si>
  <si>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</si>
  <si>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</si>
  <si>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</si>
  <si>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</si>
  <si>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</si>
  <si>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</si>
  <si>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</si>
  <si>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</si>
  <si>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</si>
  <si>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</si>
  <si>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</si>
  <si>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</si>
  <si>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</si>
  <si>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</si>
  <si>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</si>
  <si>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</si>
  <si>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</si>
  <si>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</si>
  <si>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</si>
  <si>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</si>
  <si>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</si>
  <si>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</si>
  <si>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</si>
  <si>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</si>
  <si>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</si>
  <si>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</si>
  <si>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</si>
  <si>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</si>
  <si>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</si>
  <si>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</si>
  <si>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</si>
  <si>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</si>
  <si>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</si>
  <si>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</si>
  <si>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</si>
  <si>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</si>
  <si>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</si>
  <si>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</si>
  <si>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</si>
  <si>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</si>
  <si>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</si>
  <si>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</si>
  <si>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</si>
  <si>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</si>
  <si>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</si>
  <si>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</si>
  <si>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</si>
  <si>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</si>
  <si>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</si>
  <si>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</si>
  <si>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</si>
  <si>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</si>
  <si>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</si>
  <si>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</si>
  <si>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</si>
  <si>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</si>
  <si>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</si>
  <si>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</si>
  <si>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</si>
  <si>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</si>
  <si>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</si>
  <si>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</si>
  <si>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</si>
  <si>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</si>
  <si>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</si>
  <si>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</si>
  <si>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</si>
  <si>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</si>
  <si>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</si>
  <si>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</si>
  <si>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</si>
  <si>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</si>
  <si>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</si>
  <si>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</si>
  <si>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</si>
  <si>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</si>
  <si>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</si>
  <si>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</si>
  <si>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</si>
  <si>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</si>
  <si>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</si>
  <si>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</si>
  <si>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</si>
  <si>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</si>
  <si>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</si>
  <si>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</si>
  <si>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</si>
  <si>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</si>
  <si>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</si>
  <si>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</si>
  <si>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</si>
  <si>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</si>
  <si>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</si>
  <si>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</si>
  <si>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</si>
  <si>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</si>
  <si>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</si>
  <si>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</si>
  <si>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</si>
  <si>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</si>
  <si>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</si>
  <si>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</si>
  <si>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</si>
  <si>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</si>
  <si>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</si>
  <si>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</si>
  <si>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</si>
  <si>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</si>
  <si>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</si>
  <si>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</si>
  <si>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</si>
  <si>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</si>
  <si>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</si>
  <si>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</si>
  <si>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</si>
  <si>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</si>
  <si>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</si>
  <si>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</si>
  <si>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</si>
  <si>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</si>
  <si>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</si>
  <si>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</si>
  <si>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</si>
  <si>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</si>
  <si>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</si>
  <si>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</si>
  <si>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</si>
  <si>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</si>
  <si>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</si>
  <si>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</si>
  <si>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</si>
  <si>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</si>
  <si>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</si>
  <si>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</si>
  <si>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</si>
  <si>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</si>
  <si>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</si>
  <si>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</si>
  <si>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</si>
  <si>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</si>
  <si>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</si>
  <si>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</si>
  <si>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</si>
  <si>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</si>
  <si>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</si>
  <si>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</si>
  <si>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</si>
  <si>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</si>
  <si>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</si>
  <si>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</si>
  <si>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</si>
  <si>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</si>
  <si>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</si>
  <si>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</si>
  <si>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</si>
  <si>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</si>
  <si>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</si>
  <si>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</si>
  <si>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</si>
  <si>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</si>
  <si>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</si>
  <si>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</si>
  <si>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</si>
  <si>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</si>
  <si>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</si>
  <si>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</si>
  <si>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</si>
  <si>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</si>
  <si>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</si>
  <si>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</si>
  <si>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</si>
  <si>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</si>
  <si>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</si>
  <si>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</si>
  <si>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</si>
  <si>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</si>
  <si>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</si>
  <si>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</si>
  <si>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</si>
  <si>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</si>
  <si>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</si>
  <si>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</si>
  <si>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</si>
  <si>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</si>
  <si>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</si>
  <si>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</si>
  <si>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</si>
  <si>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</si>
  <si>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</si>
  <si>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</si>
  <si>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</si>
  <si>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</si>
  <si>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</si>
  <si>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</si>
  <si>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</si>
  <si>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</si>
  <si>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</si>
  <si>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</si>
  <si>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</si>
  <si>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</si>
  <si>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</si>
  <si>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</si>
  <si>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</si>
  <si>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</si>
  <si>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</si>
  <si>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</si>
  <si>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</si>
  <si>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</si>
  <si>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</si>
  <si>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</si>
  <si>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</si>
  <si>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</si>
  <si>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</si>
  <si>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</si>
  <si>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</si>
  <si>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</si>
  <si>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</si>
  <si>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</si>
  <si>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</si>
  <si>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</si>
  <si>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</si>
  <si>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</si>
  <si>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</si>
  <si>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</si>
  <si>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</si>
  <si>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</si>
  <si>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</si>
  <si>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</si>
  <si>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</si>
  <si>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</si>
  <si>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</si>
  <si>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</si>
  <si>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</si>
  <si>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</si>
  <si>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</si>
  <si>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</si>
  <si>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</si>
  <si>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</si>
  <si>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</si>
  <si>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</si>
  <si>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</si>
  <si>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</si>
  <si>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</si>
  <si>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</si>
  <si>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</si>
  <si>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</si>
  <si>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</si>
  <si>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</si>
  <si>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</si>
  <si>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</si>
  <si>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</si>
  <si>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</si>
  <si>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</si>
  <si>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</si>
  <si>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</si>
  <si>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</si>
  <si>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</si>
  <si>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</si>
  <si>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</si>
  <si>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</si>
  <si>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</si>
  <si>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</si>
  <si>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</si>
  <si>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</si>
  <si>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</si>
  <si>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</si>
  <si>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</si>
  <si>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</si>
  <si>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</si>
  <si>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</si>
  <si>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</si>
  <si>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</si>
  <si>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</si>
  <si>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</si>
  <si>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</si>
  <si>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</si>
  <si>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</si>
  <si>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</si>
  <si>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</si>
  <si>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</si>
  <si>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</si>
  <si>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</si>
  <si>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</si>
  <si>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</si>
  <si>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</si>
  <si>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</si>
  <si>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</si>
  <si>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</si>
  <si>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</si>
  <si>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</si>
  <si>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</si>
  <si>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</si>
  <si>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</si>
  <si>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</si>
  <si>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</si>
  <si>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</si>
  <si>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</si>
  <si>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</si>
  <si>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</si>
  <si>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</si>
  <si>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</si>
  <si>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</si>
  <si>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</si>
  <si>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</si>
  <si>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</si>
  <si>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</si>
  <si>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</si>
  <si>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</si>
  <si>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</si>
  <si>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</si>
  <si>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</si>
  <si>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</si>
  <si>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</si>
  <si>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</si>
  <si>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</si>
  <si>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</si>
  <si>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</si>
  <si>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</si>
  <si>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</si>
  <si>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</si>
  <si>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</si>
  <si>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</si>
  <si>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</si>
  <si>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</si>
  <si>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</si>
  <si>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</si>
  <si>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</si>
  <si>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</si>
  <si>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</si>
  <si>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</si>
  <si>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</si>
  <si>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</si>
  <si>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</si>
  <si>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</si>
  <si>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</si>
  <si>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</si>
  <si>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</si>
  <si>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</si>
  <si>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</si>
  <si>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</si>
  <si>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</si>
  <si>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</si>
  <si>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</si>
  <si>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</si>
  <si>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</si>
  <si>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</si>
  <si>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</si>
  <si>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</si>
  <si>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</si>
  <si>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</si>
  <si>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</si>
  <si>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</si>
  <si>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</si>
  <si>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</si>
  <si>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</si>
  <si>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</si>
  <si>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</si>
  <si>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</si>
  <si>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</si>
  <si>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</si>
  <si>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</si>
  <si>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</si>
  <si>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</si>
  <si>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</si>
  <si>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</si>
  <si>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</si>
  <si>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</si>
  <si>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</si>
  <si>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</si>
  <si>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</si>
  <si>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</si>
  <si>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</si>
  <si>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</si>
  <si>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</si>
  <si>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Sum of Active With Cust.</t>
  </si>
  <si>
    <t>Emp Total Number of woking hours</t>
  </si>
  <si>
    <t>Report 1 : Working Hours'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</si>
</sst>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%"/>
    <numFmt numFmtId="165" formatCode="[$-F400]h:mm:ss\ AM/PM"/>
    <numFmt numFmtId="167" formatCode="[$-F400]h\.mm\.ss\ AM/PM"/>
    <numFmt numFmtId="169" formatCode="[$-14009]hh\.mm\.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7" fontId="0" fillId="0" borderId="0" xfId="0" applyNumberFormat="1"/>
    <xf numFmtId="169" fontId="0" fillId="0" borderId="0" xfId="0" applyNumberFormat="1"/>
    <xf numFmtId="0" fontId="0" fillId="4" borderId="0" xfId="0" applyFill="1"/>
    <xf numFmtId="0" fontId="0" fillId="5" borderId="0" xfId="0" applyFill="1" applyAlignment="1">
      <alignment horizontal="center"/>
    </xf>
    <xf numFmtId="0" fontId="7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167" fontId="0" fillId="6" borderId="0" xfId="0" applyNumberFormat="1" applyFill="1"/>
    <xf numFmtId="169" fontId="0" fillId="6" borderId="0" xfId="0" applyNumberFormat="1" applyFill="1"/>
  </cellXfs>
  <cellStyles count="2">
    <cellStyle name="Normal" xfId="0" builtinId="0"/>
    <cellStyle name="Percent" xfId="1" builtinId="5"/>
  </cellStyles>
  <dxfs count="5">
    <dxf>
      <numFmt numFmtId="167" formatCode="[$-F400]h\.mm\.ss\ AM/PM"/>
    </dxf>
    <dxf>
      <numFmt numFmtId="0" formatCode="General"/>
    </dxf>
    <dxf>
      <numFmt numFmtId="169" formatCode="[$-14009]hh\.mm\.ss;@"/>
    </dxf>
    <dxf>
      <numFmt numFmtId="14" formatCode="0.00%"/>
    </dxf>
    <dxf>
      <numFmt numFmtId="167" formatCode="[$-F400]h\.mm\.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[MSI.xlsm]Dashboard!PivotTable1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612248767239792E-2"/>
          <c:y val="0.26710162932244141"/>
          <c:w val="0.76853604145721077"/>
          <c:h val="0.38581485486845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Dashboard!$B$7:$B$11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Dashboard!$C$7:$C$11</c:f>
              <c:numCache>
                <c:formatCode>[$-14009]hh\.mm\.ss;@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C8-4F9A-A5FA-072C167CF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8818608"/>
        <c:axId val="1328817360"/>
      </c:barChart>
      <c:catAx>
        <c:axId val="132881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17360"/>
        <c:crosses val="autoZero"/>
        <c:auto val="1"/>
        <c:lblAlgn val="ctr"/>
        <c:lblOffset val="100"/>
        <c:noMultiLvlLbl val="0"/>
      </c:catAx>
      <c:valAx>
        <c:axId val="132881736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-14009]hh\.mm\.ss;@" sourceLinked="1"/>
        <c:majorTickMark val="none"/>
        <c:minorTickMark val="none"/>
        <c:tickLblPos val="nextTo"/>
        <c:crossAx val="132881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[MSI.xlsm]Dashboard!PivotTable2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Dashboard!$G$6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Dashboard!$F$7:$F$11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Dashboard!$G$7:$G$11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3D-4E4F-B8C2-AA00BF21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952464"/>
        <c:axId val="1214960784"/>
      </c:lineChart>
      <c:catAx>
        <c:axId val="121495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960784"/>
        <c:crosses val="autoZero"/>
        <c:auto val="1"/>
        <c:lblAlgn val="ctr"/>
        <c:lblOffset val="100"/>
        <c:noMultiLvlLbl val="0"/>
      </c:catAx>
      <c:valAx>
        <c:axId val="121496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149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" max="30000" min="1" page="10" val="5"/>
</file>

<file path=xl/ctrlProps/ctrlProp2.xml><?xml version="1.0" encoding="utf-8"?>
<formControlPr xmlns="http://schemas.microsoft.com/office/spreadsheetml/2009/9/main" objectType="Spin" dx="26" fmlaLink="$E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0</xdr:row>
      <xdr:rowOff>26670</xdr:rowOff>
    </xdr:from>
    <xdr:to>
      <xdr:col>2</xdr:col>
      <xdr:colOff>1276350</xdr:colOff>
      <xdr:row>1</xdr:row>
      <xdr:rowOff>140970</xdr:rowOff>
    </xdr:to>
    <xdr:sp macro="" textlink="$E$1">
      <xdr:nvSpPr>
        <xdr:cNvPr id="17" name="Rectangle 16">
          <a:extLst>
            <a:ext uri="{FF2B5EF4-FFF2-40B4-BE49-F238E27FC236}">
              <a16:creationId xmlns:a16="http://schemas.microsoft.com/office/drawing/2014/main" id="{9BF85012-0C5D-4DE2-BC1D-AC92996809CA}"/>
            </a:ext>
          </a:extLst>
        </xdr:cNvPr>
        <xdr:cNvSpPr/>
      </xdr:nvSpPr>
      <xdr:spPr>
        <a:xfrm>
          <a:off x="2781300" y="26670"/>
          <a:ext cx="609600" cy="2952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BE26E4-1AEF-4564-A6D8-E22800EE593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5</a:t>
          </a:fld>
          <a:endParaRPr lang="en-US" sz="11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592457</xdr:colOff>
      <xdr:row>11</xdr:row>
      <xdr:rowOff>57150</xdr:rowOff>
    </xdr:from>
    <xdr:to>
      <xdr:col>3</xdr:col>
      <xdr:colOff>0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C7C3D4-6A5E-405A-88CE-0B6409281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</xdr:colOff>
      <xdr:row>0</xdr:row>
      <xdr:rowOff>49530</xdr:rowOff>
    </xdr:from>
    <xdr:to>
      <xdr:col>1</xdr:col>
      <xdr:colOff>876299</xdr:colOff>
      <xdr:row>1</xdr:row>
      <xdr:rowOff>129540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A20ED3BF-514A-4C8C-9092-94E7395852B1}"/>
            </a:ext>
          </a:extLst>
        </xdr:cNvPr>
        <xdr:cNvSpPr/>
      </xdr:nvSpPr>
      <xdr:spPr>
        <a:xfrm>
          <a:off x="617220" y="49530"/>
          <a:ext cx="868679" cy="260985"/>
        </a:xfrm>
        <a:prstGeom prst="rightArrow">
          <a:avLst>
            <a:gd name="adj1" fmla="val 100000"/>
            <a:gd name="adj2" fmla="val 54636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  <a:p>
          <a:pPr algn="l"/>
          <a:endParaRPr lang="en-IN" sz="1100"/>
        </a:p>
      </xdr:txBody>
    </xdr:sp>
    <xdr:clientData/>
  </xdr:twoCellAnchor>
  <xdr:twoCellAnchor>
    <xdr:from>
      <xdr:col>2</xdr:col>
      <xdr:colOff>1314451</xdr:colOff>
      <xdr:row>0</xdr:row>
      <xdr:rowOff>62865</xdr:rowOff>
    </xdr:from>
    <xdr:to>
      <xdr:col>2</xdr:col>
      <xdr:colOff>2171701</xdr:colOff>
      <xdr:row>1</xdr:row>
      <xdr:rowOff>135255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8B73901B-9C71-4966-8DEB-CE700C65E563}"/>
            </a:ext>
          </a:extLst>
        </xdr:cNvPr>
        <xdr:cNvSpPr/>
      </xdr:nvSpPr>
      <xdr:spPr>
        <a:xfrm>
          <a:off x="3429001" y="62865"/>
          <a:ext cx="857250" cy="253365"/>
        </a:xfrm>
        <a:prstGeom prst="leftArrow">
          <a:avLst>
            <a:gd name="adj1" fmla="val 100000"/>
            <a:gd name="adj2" fmla="val 393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1</xdr:col>
      <xdr:colOff>1105562</xdr:colOff>
      <xdr:row>0</xdr:row>
      <xdr:rowOff>20418</xdr:rowOff>
    </xdr:from>
    <xdr:to>
      <xdr:col>1</xdr:col>
      <xdr:colOff>1502459</xdr:colOff>
      <xdr:row>1</xdr:row>
      <xdr:rowOff>135063</xdr:rowOff>
    </xdr:to>
    <xdr:pic macro="[0]!HideChartCode">
      <xdr:nvPicPr>
        <xdr:cNvPr id="14" name="Picture 13">
          <a:extLst>
            <a:ext uri="{FF2B5EF4-FFF2-40B4-BE49-F238E27FC236}">
              <a16:creationId xmlns:a16="http://schemas.microsoft.com/office/drawing/2014/main" id="{6B63806D-831A-49D0-ADCC-88AD6FEC0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6404" y="20418"/>
          <a:ext cx="396897" cy="295827"/>
        </a:xfrm>
        <a:prstGeom prst="rect">
          <a:avLst/>
        </a:prstGeom>
      </xdr:spPr>
    </xdr:pic>
    <xdr:clientData/>
  </xdr:twoCellAnchor>
  <xdr:twoCellAnchor editAs="oneCell">
    <xdr:from>
      <xdr:col>1</xdr:col>
      <xdr:colOff>1127266</xdr:colOff>
      <xdr:row>0</xdr:row>
      <xdr:rowOff>38185</xdr:rowOff>
    </xdr:from>
    <xdr:to>
      <xdr:col>2</xdr:col>
      <xdr:colOff>927</xdr:colOff>
      <xdr:row>1</xdr:row>
      <xdr:rowOff>152410</xdr:rowOff>
    </xdr:to>
    <xdr:pic macro="[0]!ShowChartCode">
      <xdr:nvPicPr>
        <xdr:cNvPr id="16" name="Picture 15" hidden="1">
          <a:extLst>
            <a:ext uri="{FF2B5EF4-FFF2-40B4-BE49-F238E27FC236}">
              <a16:creationId xmlns:a16="http://schemas.microsoft.com/office/drawing/2014/main" id="{AF4AEC65-7C26-472B-9C5C-E8C057D9E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8108" y="38185"/>
          <a:ext cx="376251" cy="2954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969646</xdr:colOff>
          <xdr:row>0</xdr:row>
          <xdr:rowOff>24765</xdr:rowOff>
        </xdr:from>
        <xdr:to>
          <xdr:col>2</xdr:col>
          <xdr:colOff>1236346</xdr:colOff>
          <xdr:row>1</xdr:row>
          <xdr:rowOff>135255</xdr:rowOff>
        </xdr:to>
        <xdr:sp macro="" textlink="">
          <xdr:nvSpPr>
            <xdr:cNvPr id="10245" name="Spinner 1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852A038C-DF86-44CC-A6AE-ED942F767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666750</xdr:colOff>
      <xdr:row>0</xdr:row>
      <xdr:rowOff>26670</xdr:rowOff>
    </xdr:from>
    <xdr:to>
      <xdr:col>6</xdr:col>
      <xdr:colOff>1276350</xdr:colOff>
      <xdr:row>1</xdr:row>
      <xdr:rowOff>140970</xdr:rowOff>
    </xdr:to>
    <xdr:sp macro="" textlink="$E$2">
      <xdr:nvSpPr>
        <xdr:cNvPr id="32" name="Rectangle 31">
          <a:extLst>
            <a:ext uri="{FF2B5EF4-FFF2-40B4-BE49-F238E27FC236}">
              <a16:creationId xmlns:a16="http://schemas.microsoft.com/office/drawing/2014/main" id="{078DF45F-3A58-4274-85A2-79B21D598636}"/>
            </a:ext>
          </a:extLst>
        </xdr:cNvPr>
        <xdr:cNvSpPr/>
      </xdr:nvSpPr>
      <xdr:spPr>
        <a:xfrm>
          <a:off x="2780182" y="24765"/>
          <a:ext cx="609600" cy="295482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81EA844-8F39-4077-9953-135F84636AC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5</a:t>
          </a:fld>
          <a:endParaRPr lang="en-US" sz="11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7620</xdr:colOff>
      <xdr:row>0</xdr:row>
      <xdr:rowOff>49530</xdr:rowOff>
    </xdr:from>
    <xdr:to>
      <xdr:col>5</xdr:col>
      <xdr:colOff>876299</xdr:colOff>
      <xdr:row>1</xdr:row>
      <xdr:rowOff>129540</xdr:rowOff>
    </xdr:to>
    <xdr:sp macro="" textlink="">
      <xdr:nvSpPr>
        <xdr:cNvPr id="33" name="Arrow: Right 32">
          <a:extLst>
            <a:ext uri="{FF2B5EF4-FFF2-40B4-BE49-F238E27FC236}">
              <a16:creationId xmlns:a16="http://schemas.microsoft.com/office/drawing/2014/main" id="{A05A05E1-BAF7-499D-ADCE-213961B60A80}"/>
            </a:ext>
          </a:extLst>
        </xdr:cNvPr>
        <xdr:cNvSpPr/>
      </xdr:nvSpPr>
      <xdr:spPr>
        <a:xfrm>
          <a:off x="620367" y="53340"/>
          <a:ext cx="866774" cy="261192"/>
        </a:xfrm>
        <a:prstGeom prst="rightArrow">
          <a:avLst>
            <a:gd name="adj1" fmla="val 100000"/>
            <a:gd name="adj2" fmla="val 54636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  <a:p>
          <a:pPr algn="l"/>
          <a:endParaRPr lang="en-IN" sz="1100"/>
        </a:p>
      </xdr:txBody>
    </xdr:sp>
    <xdr:clientData/>
  </xdr:twoCellAnchor>
  <xdr:twoCellAnchor>
    <xdr:from>
      <xdr:col>6</xdr:col>
      <xdr:colOff>1314451</xdr:colOff>
      <xdr:row>0</xdr:row>
      <xdr:rowOff>62865</xdr:rowOff>
    </xdr:from>
    <xdr:to>
      <xdr:col>6</xdr:col>
      <xdr:colOff>2171701</xdr:colOff>
      <xdr:row>1</xdr:row>
      <xdr:rowOff>135255</xdr:rowOff>
    </xdr:to>
    <xdr:sp macro="" textlink="">
      <xdr:nvSpPr>
        <xdr:cNvPr id="34" name="Arrow: Left 33">
          <a:extLst>
            <a:ext uri="{FF2B5EF4-FFF2-40B4-BE49-F238E27FC236}">
              <a16:creationId xmlns:a16="http://schemas.microsoft.com/office/drawing/2014/main" id="{F85009AB-C44A-4B3E-9DBB-54D4948CCD0C}"/>
            </a:ext>
          </a:extLst>
        </xdr:cNvPr>
        <xdr:cNvSpPr/>
      </xdr:nvSpPr>
      <xdr:spPr>
        <a:xfrm>
          <a:off x="3427883" y="59055"/>
          <a:ext cx="861060" cy="253572"/>
        </a:xfrm>
        <a:prstGeom prst="leftArrow">
          <a:avLst>
            <a:gd name="adj1" fmla="val 100000"/>
            <a:gd name="adj2" fmla="val 393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oneCellAnchor>
    <xdr:from>
      <xdr:col>5</xdr:col>
      <xdr:colOff>1105562</xdr:colOff>
      <xdr:row>0</xdr:row>
      <xdr:rowOff>20418</xdr:rowOff>
    </xdr:from>
    <xdr:ext cx="396897" cy="299637"/>
    <xdr:pic macro="[0]!HideChart2">
      <xdr:nvPicPr>
        <xdr:cNvPr id="35" name="Picture 34">
          <a:extLst>
            <a:ext uri="{FF2B5EF4-FFF2-40B4-BE49-F238E27FC236}">
              <a16:creationId xmlns:a16="http://schemas.microsoft.com/office/drawing/2014/main" id="{188955C6-677C-45E0-B65E-6D2701562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6404" y="16608"/>
          <a:ext cx="396897" cy="29963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969646</xdr:colOff>
          <xdr:row>0</xdr:row>
          <xdr:rowOff>24765</xdr:rowOff>
        </xdr:from>
        <xdr:to>
          <xdr:col>6</xdr:col>
          <xdr:colOff>1236346</xdr:colOff>
          <xdr:row>1</xdr:row>
          <xdr:rowOff>135255</xdr:rowOff>
        </xdr:to>
        <xdr:sp macro="" textlink="">
          <xdr:nvSpPr>
            <xdr:cNvPr id="10251" name="Spinner 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51EB66B8-D3CD-41EC-8C94-DD49233A8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590136</xdr:colOff>
      <xdr:row>11</xdr:row>
      <xdr:rowOff>55036</xdr:rowOff>
    </xdr:from>
    <xdr:to>
      <xdr:col>7</xdr:col>
      <xdr:colOff>29154</xdr:colOff>
      <xdr:row>21</xdr:row>
      <xdr:rowOff>95623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55211E4-8659-48F3-A136-B09EF23D1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14993</xdr:colOff>
      <xdr:row>0</xdr:row>
      <xdr:rowOff>27249</xdr:rowOff>
    </xdr:from>
    <xdr:ext cx="383871" cy="295407"/>
    <xdr:pic macro="[0]!ShowChart2">
      <xdr:nvPicPr>
        <xdr:cNvPr id="42" name="Picture 41" hidden="1">
          <a:extLst>
            <a:ext uri="{FF2B5EF4-FFF2-40B4-BE49-F238E27FC236}">
              <a16:creationId xmlns:a16="http://schemas.microsoft.com/office/drawing/2014/main" id="{481EBDC9-CFF6-450B-BBC2-6096061FA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387" y="27249"/>
          <a:ext cx="383871" cy="295407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8671A7-7F72-4EE9-86AA-80E96A18C1FC}" name="PivotTable2" cacheId="1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6" indent="0" outline="1" outlineData="1" multipleFieldFilters="0" chartFormat="2">
  <location ref="F6:G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10"/>
  </dataFields>
  <formats count="2">
    <format dxfId="4">
      <pivotArea dataOnly="0" labelOnly="1" outline="0" axis="axisValues" fieldPosition="0"/>
    </format>
    <format dxfId="3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4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29994-8506-4CA1-BF35-33ED783330BD}" name="PivotTable1" cacheId="1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6" indent="0" outline="1" outlineData="1" multipleFieldFilters="0" chartFormat="1">
  <location ref="B6:C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15" numFmtId="169"/>
  </dataFields>
  <formats count="3">
    <format dxfId="0">
      <pivotArea dataOnly="0" labelOnly="1" outline="0" axis="axisValues" fieldPosition="0"/>
    </format>
    <format dxfId="1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7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s="15" customForma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 x14ac:dyDescent="0.3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 x14ac:dyDescent="0.3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 x14ac:dyDescent="0.3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 x14ac:dyDescent="0.3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 x14ac:dyDescent="0.3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 x14ac:dyDescent="0.3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 x14ac:dyDescent="0.3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 x14ac:dyDescent="0.3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 x14ac:dyDescent="0.3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 x14ac:dyDescent="0.3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 x14ac:dyDescent="0.3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 x14ac:dyDescent="0.3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 x14ac:dyDescent="0.3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 x14ac:dyDescent="0.3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 x14ac:dyDescent="0.3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 x14ac:dyDescent="0.3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 x14ac:dyDescent="0.3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 x14ac:dyDescent="0.3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 x14ac:dyDescent="0.3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 x14ac:dyDescent="0.3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 x14ac:dyDescent="0.3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 x14ac:dyDescent="0.3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 x14ac:dyDescent="0.3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 x14ac:dyDescent="0.3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 x14ac:dyDescent="0.3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 x14ac:dyDescent="0.3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 x14ac:dyDescent="0.3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 x14ac:dyDescent="0.3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 x14ac:dyDescent="0.3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 x14ac:dyDescent="0.3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 x14ac:dyDescent="0.3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 x14ac:dyDescent="0.3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 x14ac:dyDescent="0.3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 x14ac:dyDescent="0.3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 x14ac:dyDescent="0.3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 x14ac:dyDescent="0.3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 x14ac:dyDescent="0.3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 x14ac:dyDescent="0.3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 x14ac:dyDescent="0.3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 x14ac:dyDescent="0.3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 x14ac:dyDescent="0.3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 x14ac:dyDescent="0.3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 x14ac:dyDescent="0.3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 x14ac:dyDescent="0.3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 x14ac:dyDescent="0.3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 x14ac:dyDescent="0.3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 x14ac:dyDescent="0.3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 x14ac:dyDescent="0.3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 x14ac:dyDescent="0.3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 x14ac:dyDescent="0.3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 x14ac:dyDescent="0.3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 x14ac:dyDescent="0.3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 x14ac:dyDescent="0.3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 x14ac:dyDescent="0.3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 x14ac:dyDescent="0.3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 x14ac:dyDescent="0.3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 x14ac:dyDescent="0.3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 x14ac:dyDescent="0.3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 x14ac:dyDescent="0.3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 x14ac:dyDescent="0.3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 x14ac:dyDescent="0.3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 x14ac:dyDescent="0.3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 x14ac:dyDescent="0.3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 x14ac:dyDescent="0.3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 x14ac:dyDescent="0.3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 x14ac:dyDescent="0.3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 x14ac:dyDescent="0.3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 x14ac:dyDescent="0.3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 x14ac:dyDescent="0.3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 x14ac:dyDescent="0.3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 x14ac:dyDescent="0.3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 x14ac:dyDescent="0.3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 x14ac:dyDescent="0.3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 x14ac:dyDescent="0.3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 x14ac:dyDescent="0.3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 x14ac:dyDescent="0.3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 x14ac:dyDescent="0.3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 x14ac:dyDescent="0.3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 x14ac:dyDescent="0.3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 x14ac:dyDescent="0.3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 x14ac:dyDescent="0.3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 x14ac:dyDescent="0.3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 x14ac:dyDescent="0.3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 x14ac:dyDescent="0.3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 x14ac:dyDescent="0.3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 x14ac:dyDescent="0.3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 x14ac:dyDescent="0.3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 x14ac:dyDescent="0.3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 x14ac:dyDescent="0.3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 x14ac:dyDescent="0.3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 x14ac:dyDescent="0.3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 x14ac:dyDescent="0.3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 x14ac:dyDescent="0.3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 x14ac:dyDescent="0.3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 x14ac:dyDescent="0.3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 x14ac:dyDescent="0.3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 x14ac:dyDescent="0.3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 x14ac:dyDescent="0.3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 x14ac:dyDescent="0.3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 x14ac:dyDescent="0.3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 x14ac:dyDescent="0.3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 x14ac:dyDescent="0.3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 x14ac:dyDescent="0.3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 x14ac:dyDescent="0.3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 x14ac:dyDescent="0.3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 x14ac:dyDescent="0.3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 x14ac:dyDescent="0.3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 x14ac:dyDescent="0.3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 x14ac:dyDescent="0.3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 x14ac:dyDescent="0.3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 x14ac:dyDescent="0.3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 x14ac:dyDescent="0.3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 x14ac:dyDescent="0.3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 x14ac:dyDescent="0.3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 x14ac:dyDescent="0.3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 x14ac:dyDescent="0.3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 x14ac:dyDescent="0.3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 x14ac:dyDescent="0.3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 x14ac:dyDescent="0.3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 x14ac:dyDescent="0.3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 x14ac:dyDescent="0.3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 x14ac:dyDescent="0.3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 x14ac:dyDescent="0.3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 x14ac:dyDescent="0.3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 x14ac:dyDescent="0.3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 x14ac:dyDescent="0.3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 x14ac:dyDescent="0.3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 x14ac:dyDescent="0.3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 x14ac:dyDescent="0.3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 x14ac:dyDescent="0.3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 x14ac:dyDescent="0.3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 x14ac:dyDescent="0.3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 x14ac:dyDescent="0.3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 x14ac:dyDescent="0.3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 x14ac:dyDescent="0.3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 x14ac:dyDescent="0.3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 x14ac:dyDescent="0.3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 x14ac:dyDescent="0.3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 x14ac:dyDescent="0.3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 x14ac:dyDescent="0.3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 x14ac:dyDescent="0.3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 x14ac:dyDescent="0.3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 x14ac:dyDescent="0.3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 x14ac:dyDescent="0.3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 x14ac:dyDescent="0.3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 x14ac:dyDescent="0.3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 x14ac:dyDescent="0.3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 x14ac:dyDescent="0.3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 x14ac:dyDescent="0.3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3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3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3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3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3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3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3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3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3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3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3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3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3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3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3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3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3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3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3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3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3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3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3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3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3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3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3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3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3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3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3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3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3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3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3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3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3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3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3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3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3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3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3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3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3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3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3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3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3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3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3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3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3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3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3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3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3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3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3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3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3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3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3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3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3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3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3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3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3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3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3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3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3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3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3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3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3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3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3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3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3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3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3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3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3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3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3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3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3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3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3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3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3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3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 x14ac:dyDescent="0.3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3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3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3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3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3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3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3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3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3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3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3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 x14ac:dyDescent="0.3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3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3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3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3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3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3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3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3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3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3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3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3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3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3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3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3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3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3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3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3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3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3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3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3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3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3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3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3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3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3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3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3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3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3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3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3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3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3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3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3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3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3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sqref="A1:G150"/>
    </sheetView>
  </sheetViews>
  <sheetFormatPr defaultRowHeight="14.4" x14ac:dyDescent="0.3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 x14ac:dyDescent="0.3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6">
        <f t="shared" ref="C2:C33" si="0">TIMEVALUE(VLOOKUP(A2,EData,2,0))</f>
        <v>0.34424768518518517</v>
      </c>
      <c r="D2" s="16">
        <f t="shared" ref="D2:D33" si="1">TIMEVALUE(VLOOKUP(A2,EData,3,0))</f>
        <v>0.20693287037037036</v>
      </c>
      <c r="E2" s="16">
        <f t="shared" ref="E2:E33" si="2">TIMEVALUE(VLOOKUP(A2,BData,9,0))</f>
        <v>4.7708333333333332E-2</v>
      </c>
      <c r="F2">
        <f t="shared" ref="F2:F33" si="3">VLOOKUP(A2,PData,2,0)</f>
        <v>98</v>
      </c>
      <c r="G2" s="17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6">
        <f t="shared" si="0"/>
        <v>0.34416666666666668</v>
      </c>
      <c r="D3" s="16">
        <f t="shared" si="1"/>
        <v>0.20733796296296295</v>
      </c>
      <c r="E3" s="16">
        <f t="shared" si="2"/>
        <v>4.8599537037037038E-2</v>
      </c>
      <c r="F3">
        <f t="shared" si="3"/>
        <v>23</v>
      </c>
      <c r="G3" s="17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6">
        <f t="shared" si="0"/>
        <v>0.34510416666666671</v>
      </c>
      <c r="D4" s="16">
        <f t="shared" si="1"/>
        <v>0.20109953703703706</v>
      </c>
      <c r="E4" s="16">
        <f t="shared" si="2"/>
        <v>5.1319444444444445E-2</v>
      </c>
      <c r="F4">
        <f t="shared" si="3"/>
        <v>28</v>
      </c>
      <c r="G4" s="17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6">
        <f t="shared" si="0"/>
        <v>0.34023148148148147</v>
      </c>
      <c r="D5" s="16">
        <f t="shared" si="1"/>
        <v>0.17884259259259261</v>
      </c>
      <c r="E5" s="16">
        <f t="shared" si="2"/>
        <v>9.6550925925925915E-2</v>
      </c>
      <c r="F5">
        <f t="shared" si="3"/>
        <v>29</v>
      </c>
      <c r="G5" s="17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6">
        <f t="shared" si="0"/>
        <v>0.30603009259259256</v>
      </c>
      <c r="D6" s="16">
        <f t="shared" si="1"/>
        <v>0.13870370370370369</v>
      </c>
      <c r="E6" s="16">
        <f t="shared" si="2"/>
        <v>0.12844907407407408</v>
      </c>
      <c r="F6">
        <f t="shared" si="3"/>
        <v>93</v>
      </c>
      <c r="G6" s="17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6">
        <f t="shared" si="0"/>
        <v>0.20843750000000003</v>
      </c>
      <c r="D7" s="16">
        <f t="shared" si="1"/>
        <v>0.15369212962962964</v>
      </c>
      <c r="E7" s="16">
        <f t="shared" si="2"/>
        <v>1.8831018518518518E-2</v>
      </c>
      <c r="F7">
        <f t="shared" si="3"/>
        <v>92</v>
      </c>
      <c r="G7" s="17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6">
        <f t="shared" si="0"/>
        <v>0.34488425925925931</v>
      </c>
      <c r="D8" s="16">
        <f t="shared" si="1"/>
        <v>0.17553240740740741</v>
      </c>
      <c r="E8" s="16">
        <f t="shared" si="2"/>
        <v>0.11229166666666668</v>
      </c>
      <c r="F8">
        <f t="shared" si="3"/>
        <v>26</v>
      </c>
      <c r="G8" s="17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6">
        <f t="shared" si="0"/>
        <v>0.38646990740740739</v>
      </c>
      <c r="D9" s="16">
        <f t="shared" si="1"/>
        <v>0.24453703703703702</v>
      </c>
      <c r="E9" s="16">
        <f t="shared" si="2"/>
        <v>5.0810185185185187E-2</v>
      </c>
      <c r="F9">
        <f t="shared" si="3"/>
        <v>90</v>
      </c>
      <c r="G9" s="17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6">
        <f t="shared" si="0"/>
        <v>0.34256944444444448</v>
      </c>
      <c r="D10" s="16">
        <f t="shared" si="1"/>
        <v>0.20311342592592593</v>
      </c>
      <c r="E10" s="16">
        <f t="shared" si="2"/>
        <v>4.628472222222222E-2</v>
      </c>
      <c r="F10">
        <f t="shared" si="3"/>
        <v>89</v>
      </c>
      <c r="G10" s="17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6">
        <f t="shared" si="0"/>
        <v>0.34769675925925925</v>
      </c>
      <c r="D11" s="16">
        <f t="shared" si="1"/>
        <v>0.20702546296296295</v>
      </c>
      <c r="E11" s="16">
        <f t="shared" si="2"/>
        <v>4.8576388888888884E-2</v>
      </c>
      <c r="F11">
        <f t="shared" si="3"/>
        <v>54</v>
      </c>
      <c r="G11" s="17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6">
        <f t="shared" si="0"/>
        <v>0.34068287037037037</v>
      </c>
      <c r="D12" s="16">
        <f t="shared" si="1"/>
        <v>0.20518518518518516</v>
      </c>
      <c r="E12" s="16">
        <f t="shared" si="2"/>
        <v>4.809027777777778E-2</v>
      </c>
      <c r="F12">
        <f t="shared" si="3"/>
        <v>87</v>
      </c>
      <c r="G12" s="17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6">
        <f t="shared" si="0"/>
        <v>0.33622685185185186</v>
      </c>
      <c r="D13" s="16">
        <f t="shared" si="1"/>
        <v>0.15812499999999999</v>
      </c>
      <c r="E13" s="16">
        <f t="shared" si="2"/>
        <v>0.12590277777777778</v>
      </c>
      <c r="F13">
        <f t="shared" si="3"/>
        <v>65</v>
      </c>
      <c r="G13" s="17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6">
        <f t="shared" si="0"/>
        <v>0.34349537037037042</v>
      </c>
      <c r="D14" s="16">
        <f t="shared" si="1"/>
        <v>0.19699074074074074</v>
      </c>
      <c r="E14" s="16">
        <f t="shared" si="2"/>
        <v>8.7974537037037046E-2</v>
      </c>
      <c r="F14">
        <f t="shared" si="3"/>
        <v>85</v>
      </c>
      <c r="G14" s="17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6">
        <f t="shared" si="0"/>
        <v>0.33321759259259259</v>
      </c>
      <c r="D15" s="16">
        <f t="shared" si="1"/>
        <v>0.19475694444444444</v>
      </c>
      <c r="E15" s="16">
        <f t="shared" si="2"/>
        <v>4.9004629629629627E-2</v>
      </c>
      <c r="F15">
        <f t="shared" si="3"/>
        <v>65</v>
      </c>
      <c r="G15" s="17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6">
        <f t="shared" si="0"/>
        <v>0.34512731481481485</v>
      </c>
      <c r="D16" s="16">
        <f t="shared" si="1"/>
        <v>0.2066550925925926</v>
      </c>
      <c r="E16" s="16">
        <f t="shared" si="2"/>
        <v>5.3460648148148153E-2</v>
      </c>
      <c r="F16">
        <f t="shared" si="3"/>
        <v>83</v>
      </c>
      <c r="G16" s="17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6">
        <f t="shared" si="0"/>
        <v>0.34531249999999997</v>
      </c>
      <c r="D17" s="16">
        <f t="shared" si="1"/>
        <v>0.17390046296296294</v>
      </c>
      <c r="E17" s="16">
        <f t="shared" si="2"/>
        <v>0.10023148148148148</v>
      </c>
      <c r="F17">
        <f t="shared" si="3"/>
        <v>82</v>
      </c>
      <c r="G17" s="17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6">
        <f t="shared" si="0"/>
        <v>0.32848379629629632</v>
      </c>
      <c r="D18" s="16">
        <f t="shared" si="1"/>
        <v>0.1973611111111111</v>
      </c>
      <c r="E18" s="16">
        <f t="shared" si="2"/>
        <v>3.9224537037037037E-2</v>
      </c>
      <c r="F18">
        <f t="shared" si="3"/>
        <v>81</v>
      </c>
      <c r="G18" s="17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6">
        <f t="shared" si="0"/>
        <v>0.34494212962962961</v>
      </c>
      <c r="D19" s="16">
        <f t="shared" si="1"/>
        <v>0.20702546296296295</v>
      </c>
      <c r="E19" s="16">
        <f t="shared" si="2"/>
        <v>4.8692129629629627E-2</v>
      </c>
      <c r="F19">
        <f t="shared" si="3"/>
        <v>80</v>
      </c>
      <c r="G19" s="17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6">
        <f t="shared" si="0"/>
        <v>0.34810185185185188</v>
      </c>
      <c r="D20" s="16">
        <f t="shared" si="1"/>
        <v>0.18267361111111111</v>
      </c>
      <c r="E20" s="16">
        <f t="shared" si="2"/>
        <v>0.11122685185185184</v>
      </c>
      <c r="F20">
        <f t="shared" si="3"/>
        <v>79</v>
      </c>
      <c r="G20" s="17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6">
        <f t="shared" si="0"/>
        <v>0.34574074074074074</v>
      </c>
      <c r="D21" s="16">
        <f t="shared" si="1"/>
        <v>0.20710648148148147</v>
      </c>
      <c r="E21" s="16">
        <f t="shared" si="2"/>
        <v>5.1736111111111115E-2</v>
      </c>
      <c r="F21">
        <f t="shared" si="3"/>
        <v>78</v>
      </c>
      <c r="G21" s="17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6">
        <f t="shared" si="0"/>
        <v>0.3428356481481481</v>
      </c>
      <c r="D22" s="16">
        <f t="shared" si="1"/>
        <v>0.20393518518518516</v>
      </c>
      <c r="E22" s="16">
        <f t="shared" si="2"/>
        <v>4.6516203703703705E-2</v>
      </c>
      <c r="F22">
        <f t="shared" si="3"/>
        <v>77</v>
      </c>
      <c r="G22" s="17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6">
        <f t="shared" si="0"/>
        <v>0.34553240740740737</v>
      </c>
      <c r="D23" s="16">
        <f t="shared" si="1"/>
        <v>0.20821759259259257</v>
      </c>
      <c r="E23" s="16">
        <f t="shared" si="2"/>
        <v>4.8460648148148149E-2</v>
      </c>
      <c r="F23">
        <f t="shared" si="3"/>
        <v>76</v>
      </c>
      <c r="G23" s="17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6">
        <f t="shared" si="0"/>
        <v>0.32064814814814818</v>
      </c>
      <c r="D24" s="16">
        <f t="shared" si="1"/>
        <v>0.17288194444444446</v>
      </c>
      <c r="E24" s="16">
        <f t="shared" si="2"/>
        <v>9.0486111111111114E-2</v>
      </c>
      <c r="F24">
        <f t="shared" si="3"/>
        <v>75</v>
      </c>
      <c r="G24" s="17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6">
        <f t="shared" si="0"/>
        <v>0.34032407407407406</v>
      </c>
      <c r="D25" s="16">
        <f t="shared" si="1"/>
        <v>0.17644675925925926</v>
      </c>
      <c r="E25" s="16">
        <f t="shared" si="2"/>
        <v>9.116898148148149E-2</v>
      </c>
      <c r="F25">
        <f t="shared" si="3"/>
        <v>74</v>
      </c>
      <c r="G25" s="17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6">
        <f t="shared" si="0"/>
        <v>0.34328703703703706</v>
      </c>
      <c r="D26" s="16">
        <f t="shared" si="1"/>
        <v>0.22703703703703704</v>
      </c>
      <c r="E26" s="16">
        <f t="shared" si="2"/>
        <v>5.0625000000000003E-2</v>
      </c>
      <c r="F26">
        <f t="shared" si="3"/>
        <v>73</v>
      </c>
      <c r="G26" s="17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6">
        <f t="shared" si="0"/>
        <v>0.31663194444444448</v>
      </c>
      <c r="D27" s="16">
        <f t="shared" si="1"/>
        <v>0.21199074074074076</v>
      </c>
      <c r="E27" s="16">
        <f t="shared" si="2"/>
        <v>2.1180555555555553E-2</v>
      </c>
      <c r="F27">
        <f t="shared" si="3"/>
        <v>72</v>
      </c>
      <c r="G27" s="17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6">
        <f t="shared" si="0"/>
        <v>0.34512731481481485</v>
      </c>
      <c r="D28" s="16">
        <f t="shared" si="1"/>
        <v>0.20607638888888888</v>
      </c>
      <c r="E28" s="16">
        <f t="shared" si="2"/>
        <v>4.9768518518518517E-2</v>
      </c>
      <c r="F28">
        <f t="shared" si="3"/>
        <v>71</v>
      </c>
      <c r="G28" s="17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6">
        <f t="shared" si="0"/>
        <v>0.34297453703703701</v>
      </c>
      <c r="D29" s="16">
        <f t="shared" si="1"/>
        <v>0.21273148148148147</v>
      </c>
      <c r="E29" s="16">
        <f t="shared" si="2"/>
        <v>4.8645833333333333E-2</v>
      </c>
      <c r="F29">
        <f t="shared" si="3"/>
        <v>70</v>
      </c>
      <c r="G29" s="17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6">
        <f t="shared" si="0"/>
        <v>0.34387731481481482</v>
      </c>
      <c r="D30" s="16">
        <f t="shared" si="1"/>
        <v>0.17480324074074075</v>
      </c>
      <c r="E30" s="16">
        <f t="shared" si="2"/>
        <v>0.11449074074074074</v>
      </c>
      <c r="F30">
        <f t="shared" si="3"/>
        <v>69</v>
      </c>
      <c r="G30" s="17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6">
        <f t="shared" si="0"/>
        <v>0.31069444444444444</v>
      </c>
      <c r="D31" s="16">
        <f t="shared" si="1"/>
        <v>0.1912962962962963</v>
      </c>
      <c r="E31" s="16">
        <f t="shared" si="2"/>
        <v>5.5787037037037031E-2</v>
      </c>
      <c r="F31">
        <f t="shared" si="3"/>
        <v>68</v>
      </c>
      <c r="G31" s="17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6">
        <f t="shared" si="0"/>
        <v>0.33329861111111109</v>
      </c>
      <c r="D32" s="16">
        <f t="shared" si="1"/>
        <v>0.21824074074074074</v>
      </c>
      <c r="E32" s="16">
        <f t="shared" si="2"/>
        <v>4.809027777777778E-2</v>
      </c>
      <c r="F32">
        <f t="shared" si="3"/>
        <v>67</v>
      </c>
      <c r="G32" s="17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6">
        <f t="shared" si="0"/>
        <v>0.34564814814814815</v>
      </c>
      <c r="D33" s="16">
        <f t="shared" si="1"/>
        <v>0.21184027777777778</v>
      </c>
      <c r="E33" s="16">
        <f t="shared" si="2"/>
        <v>8.9745370370370378E-2</v>
      </c>
      <c r="F33">
        <f t="shared" si="3"/>
        <v>66</v>
      </c>
      <c r="G33" s="17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6">
        <f t="shared" ref="C34:C65" si="6">TIMEVALUE(VLOOKUP(A34,EData,2,0))</f>
        <v>0.34664351851851855</v>
      </c>
      <c r="D34" s="16">
        <f t="shared" ref="D34:D65" si="7">TIMEVALUE(VLOOKUP(A34,EData,3,0))</f>
        <v>0.20781249999999998</v>
      </c>
      <c r="E34" s="16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6">
        <f t="shared" si="6"/>
        <v>0.34471064814814811</v>
      </c>
      <c r="D35" s="16">
        <f t="shared" si="7"/>
        <v>0.20981481481481482</v>
      </c>
      <c r="E35" s="16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6">
        <f t="shared" si="6"/>
        <v>0.31923611111111111</v>
      </c>
      <c r="D36" s="16">
        <f t="shared" si="7"/>
        <v>0.18953703703703703</v>
      </c>
      <c r="E36" s="16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6">
        <f t="shared" si="6"/>
        <v>0.34128472222222223</v>
      </c>
      <c r="D37" s="16">
        <f t="shared" si="7"/>
        <v>0.17200231481481479</v>
      </c>
      <c r="E37" s="16">
        <f t="shared" si="8"/>
        <v>0.10777777777777779</v>
      </c>
      <c r="F37">
        <f t="shared" si="9"/>
        <v>62</v>
      </c>
      <c r="G37" s="17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6">
        <f t="shared" si="6"/>
        <v>0.34012731481481479</v>
      </c>
      <c r="D38" s="16">
        <f t="shared" si="7"/>
        <v>0.20243055555555556</v>
      </c>
      <c r="E38" s="16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6">
        <f t="shared" si="6"/>
        <v>0.3442824074074074</v>
      </c>
      <c r="D39" s="16">
        <f t="shared" si="7"/>
        <v>0.20569444444444443</v>
      </c>
      <c r="E39" s="16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6">
        <f t="shared" si="6"/>
        <v>0.3439699074074074</v>
      </c>
      <c r="D40" s="16">
        <f t="shared" si="7"/>
        <v>0.20620370370370369</v>
      </c>
      <c r="E40" s="16">
        <f t="shared" si="8"/>
        <v>4.8923611111111105E-2</v>
      </c>
      <c r="F40">
        <f t="shared" si="9"/>
        <v>59</v>
      </c>
      <c r="G40" s="17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6">
        <f t="shared" si="6"/>
        <v>0.34541666666666665</v>
      </c>
      <c r="D41" s="16">
        <f t="shared" si="7"/>
        <v>0.22590277777777779</v>
      </c>
      <c r="E41" s="16">
        <f t="shared" si="8"/>
        <v>4.8749999999999995E-2</v>
      </c>
      <c r="F41">
        <f t="shared" si="9"/>
        <v>58</v>
      </c>
      <c r="G41" s="17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6">
        <f t="shared" si="6"/>
        <v>0.34445601851851854</v>
      </c>
      <c r="D42" s="16">
        <f t="shared" si="7"/>
        <v>0.20725694444444445</v>
      </c>
      <c r="E42" s="16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6">
        <f t="shared" si="6"/>
        <v>0.33342592592592596</v>
      </c>
      <c r="D43" s="16">
        <f t="shared" si="7"/>
        <v>0.16271990740740741</v>
      </c>
      <c r="E43" s="16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6">
        <f t="shared" si="6"/>
        <v>0.2094560185185185</v>
      </c>
      <c r="D44" s="16">
        <f t="shared" si="7"/>
        <v>0.13993055555555556</v>
      </c>
      <c r="E44" s="16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6">
        <f t="shared" si="6"/>
        <v>0.35192129629629632</v>
      </c>
      <c r="D45" s="16">
        <f t="shared" si="7"/>
        <v>0.22140046296296298</v>
      </c>
      <c r="E45" s="16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6">
        <f t="shared" si="6"/>
        <v>0.32876157407407408</v>
      </c>
      <c r="D46" s="16">
        <f t="shared" si="7"/>
        <v>0.22660879629629629</v>
      </c>
      <c r="E46" s="16">
        <f t="shared" si="8"/>
        <v>3.9108796296296301E-2</v>
      </c>
      <c r="F46">
        <f t="shared" si="9"/>
        <v>53</v>
      </c>
      <c r="G46" s="17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6">
        <f t="shared" si="6"/>
        <v>0.33435185185185184</v>
      </c>
      <c r="D47" s="16">
        <f t="shared" si="7"/>
        <v>0.17586805555555554</v>
      </c>
      <c r="E47" s="16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6">
        <f t="shared" si="6"/>
        <v>0.34831018518518514</v>
      </c>
      <c r="D48" s="16">
        <f t="shared" si="7"/>
        <v>0.21436342592592594</v>
      </c>
      <c r="E48" s="16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6">
        <f t="shared" si="6"/>
        <v>0.34407407407407403</v>
      </c>
      <c r="D49" s="16">
        <f t="shared" si="7"/>
        <v>0.19798611111111111</v>
      </c>
      <c r="E49" s="16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6">
        <f t="shared" si="6"/>
        <v>0.33285879629629628</v>
      </c>
      <c r="D50" s="16">
        <f t="shared" si="7"/>
        <v>0.19598379629629628</v>
      </c>
      <c r="E50" s="16">
        <f t="shared" si="8"/>
        <v>4.8738425925925921E-2</v>
      </c>
      <c r="F50">
        <f t="shared" si="9"/>
        <v>49</v>
      </c>
      <c r="G50" s="17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6">
        <f t="shared" si="6"/>
        <v>0.20570601851851852</v>
      </c>
      <c r="D51" s="16">
        <f t="shared" si="7"/>
        <v>0.13252314814814814</v>
      </c>
      <c r="E51" s="16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6">
        <f t="shared" si="6"/>
        <v>0.32318287037037036</v>
      </c>
      <c r="D52" s="16">
        <f t="shared" si="7"/>
        <v>0.19381944444444443</v>
      </c>
      <c r="E52" s="16">
        <f t="shared" si="8"/>
        <v>5.1898148148148145E-2</v>
      </c>
      <c r="F52">
        <f t="shared" si="9"/>
        <v>47</v>
      </c>
      <c r="G52" s="17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6">
        <f t="shared" si="6"/>
        <v>0.33348379629629626</v>
      </c>
      <c r="D53" s="16">
        <f t="shared" si="7"/>
        <v>0.19890046296296296</v>
      </c>
      <c r="E53" s="16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6">
        <f t="shared" si="6"/>
        <v>0.34015046296296297</v>
      </c>
      <c r="D54" s="16">
        <f t="shared" si="7"/>
        <v>0.20222222222222222</v>
      </c>
      <c r="E54" s="16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6">
        <f t="shared" si="6"/>
        <v>0.34311342592592592</v>
      </c>
      <c r="D55" s="16">
        <f t="shared" si="7"/>
        <v>0.21112268518518518</v>
      </c>
      <c r="E55" s="16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6">
        <f t="shared" si="6"/>
        <v>0.32046296296296295</v>
      </c>
      <c r="D56" s="16">
        <f t="shared" si="7"/>
        <v>0.18484953703703702</v>
      </c>
      <c r="E56" s="16">
        <f t="shared" si="8"/>
        <v>4.9143518518518524E-2</v>
      </c>
      <c r="F56">
        <f t="shared" si="9"/>
        <v>43</v>
      </c>
      <c r="G56" s="17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6">
        <f t="shared" si="6"/>
        <v>0.33384259259259258</v>
      </c>
      <c r="D57" s="16">
        <f t="shared" si="7"/>
        <v>0.1867824074074074</v>
      </c>
      <c r="E57" s="16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6">
        <f t="shared" si="6"/>
        <v>0.33012731481481478</v>
      </c>
      <c r="D58" s="16">
        <f t="shared" si="7"/>
        <v>0.18739583333333332</v>
      </c>
      <c r="E58" s="16">
        <f t="shared" si="8"/>
        <v>5.2766203703703697E-2</v>
      </c>
      <c r="F58">
        <f t="shared" si="9"/>
        <v>41</v>
      </c>
      <c r="G58" s="17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6">
        <f t="shared" si="6"/>
        <v>0.34032407407407406</v>
      </c>
      <c r="D59" s="16">
        <f t="shared" si="7"/>
        <v>0.21151620370370372</v>
      </c>
      <c r="E59" s="16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6">
        <f t="shared" si="6"/>
        <v>0.33714120370370365</v>
      </c>
      <c r="D60" s="16">
        <f t="shared" si="7"/>
        <v>0.13162037037037036</v>
      </c>
      <c r="E60" s="16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6">
        <f t="shared" si="6"/>
        <v>0.34364583333333337</v>
      </c>
      <c r="D61" s="16">
        <f t="shared" si="7"/>
        <v>0.17246527777777776</v>
      </c>
      <c r="E61" s="16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6">
        <f t="shared" si="6"/>
        <v>0.21915509259259258</v>
      </c>
      <c r="D62" s="16">
        <f t="shared" si="7"/>
        <v>0.15189814814814814</v>
      </c>
      <c r="E62" s="16">
        <f t="shared" si="8"/>
        <v>1.082175925925926E-2</v>
      </c>
      <c r="F62">
        <f t="shared" si="9"/>
        <v>37</v>
      </c>
      <c r="G62" s="17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6">
        <f t="shared" si="6"/>
        <v>0.3417824074074074</v>
      </c>
      <c r="D63" s="16">
        <f t="shared" si="7"/>
        <v>0.17645833333333336</v>
      </c>
      <c r="E63" s="16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6">
        <f t="shared" si="6"/>
        <v>0.33370370370370367</v>
      </c>
      <c r="D64" s="16">
        <f t="shared" si="7"/>
        <v>0.16336805555555556</v>
      </c>
      <c r="E64" s="16">
        <f t="shared" si="8"/>
        <v>0.11005787037037036</v>
      </c>
      <c r="F64">
        <f t="shared" si="9"/>
        <v>35</v>
      </c>
      <c r="G64" s="17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6">
        <f t="shared" si="6"/>
        <v>0.33026620370370369</v>
      </c>
      <c r="D65" s="16">
        <f t="shared" si="7"/>
        <v>0.16021990740740741</v>
      </c>
      <c r="E65" s="16">
        <f t="shared" si="8"/>
        <v>0.10043981481481483</v>
      </c>
      <c r="F65">
        <f t="shared" si="9"/>
        <v>34</v>
      </c>
      <c r="G65" s="17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6">
        <f t="shared" ref="C66:C97" si="11">TIMEVALUE(VLOOKUP(A66,EData,2,0))</f>
        <v>0.20910879629629631</v>
      </c>
      <c r="D66" s="16">
        <f t="shared" ref="D66:D97" si="12">TIMEVALUE(VLOOKUP(A66,EData,3,0))</f>
        <v>0.13449074074074074</v>
      </c>
      <c r="E66" s="16">
        <f t="shared" ref="E66:E97" si="13">TIMEVALUE(VLOOKUP(A66,BData,9,0))</f>
        <v>2.0532407407407405E-2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6">
        <f t="shared" si="11"/>
        <v>0.34836805555555556</v>
      </c>
      <c r="D67" s="16">
        <f t="shared" si="12"/>
        <v>0.19697916666666668</v>
      </c>
      <c r="E67" s="16">
        <f t="shared" si="13"/>
        <v>5.1423611111111107E-2</v>
      </c>
      <c r="F67">
        <f t="shared" si="14"/>
        <v>32</v>
      </c>
      <c r="G67" s="17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6">
        <f t="shared" si="11"/>
        <v>0.34686342592592595</v>
      </c>
      <c r="D68" s="16">
        <f t="shared" si="12"/>
        <v>0.2043865740740741</v>
      </c>
      <c r="E68" s="16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6">
        <f t="shared" si="11"/>
        <v>0.3480671296296296</v>
      </c>
      <c r="D69" s="16">
        <f t="shared" si="12"/>
        <v>0.19177083333333333</v>
      </c>
      <c r="E69" s="16">
        <f t="shared" si="13"/>
        <v>9.3958333333333324E-2</v>
      </c>
      <c r="F69">
        <f t="shared" si="14"/>
        <v>30</v>
      </c>
      <c r="G69" s="17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6">
        <f t="shared" si="11"/>
        <v>0.33495370370370375</v>
      </c>
      <c r="D70" s="16">
        <f t="shared" si="12"/>
        <v>0.19739583333333333</v>
      </c>
      <c r="E70" s="16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6">
        <f t="shared" si="11"/>
        <v>0.34497685185185184</v>
      </c>
      <c r="D71" s="16">
        <f t="shared" si="12"/>
        <v>0.20746527777777779</v>
      </c>
      <c r="E71" s="16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6">
        <f t="shared" si="11"/>
        <v>0.33376157407407409</v>
      </c>
      <c r="D72" s="16">
        <f t="shared" si="12"/>
        <v>0.19787037037037036</v>
      </c>
      <c r="E72" s="16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6">
        <f t="shared" si="11"/>
        <v>0.33037037037037037</v>
      </c>
      <c r="D73" s="16">
        <f t="shared" si="12"/>
        <v>0.1849652777777778</v>
      </c>
      <c r="E73" s="16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6">
        <f t="shared" si="11"/>
        <v>0.34008101851851852</v>
      </c>
      <c r="D74" s="16">
        <f t="shared" si="12"/>
        <v>0.16811342592592593</v>
      </c>
      <c r="E74" s="16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6">
        <f t="shared" si="11"/>
        <v>0.33415509259259263</v>
      </c>
      <c r="D75" s="16">
        <f t="shared" si="12"/>
        <v>0.16863425925925926</v>
      </c>
      <c r="E75" s="16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6">
        <f t="shared" si="11"/>
        <v>0.34437500000000004</v>
      </c>
      <c r="D76" s="16">
        <f t="shared" si="12"/>
        <v>0.18534722222222222</v>
      </c>
      <c r="E76" s="16">
        <f t="shared" si="13"/>
        <v>8.0162037037037046E-2</v>
      </c>
      <c r="F76">
        <f t="shared" si="14"/>
        <v>33</v>
      </c>
      <c r="G76" s="17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6">
        <f t="shared" si="11"/>
        <v>0.3558101851851852</v>
      </c>
      <c r="D77" s="16">
        <f t="shared" si="12"/>
        <v>0.21642361111111111</v>
      </c>
      <c r="E77" s="16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6">
        <f t="shared" si="11"/>
        <v>0.34848379629629633</v>
      </c>
      <c r="D78" s="16">
        <f t="shared" si="12"/>
        <v>0.12767361111111111</v>
      </c>
      <c r="E78" s="16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6">
        <f t="shared" si="11"/>
        <v>0.35092592592592592</v>
      </c>
      <c r="D79" s="16">
        <f t="shared" si="12"/>
        <v>0.12086805555555556</v>
      </c>
      <c r="E79" s="16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6">
        <f t="shared" si="11"/>
        <v>0.33891203703703704</v>
      </c>
      <c r="D80" s="16">
        <f t="shared" si="12"/>
        <v>0.21581018518518516</v>
      </c>
      <c r="E80" s="16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6">
        <f t="shared" si="11"/>
        <v>0.34675925925925927</v>
      </c>
      <c r="D81" s="16">
        <f t="shared" si="12"/>
        <v>0.17275462962962962</v>
      </c>
      <c r="E81" s="16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6">
        <f t="shared" si="11"/>
        <v>0.3511111111111111</v>
      </c>
      <c r="D82" s="16">
        <f t="shared" si="12"/>
        <v>0.15339120370370371</v>
      </c>
      <c r="E82" s="16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6">
        <f t="shared" si="11"/>
        <v>0.3447453703703704</v>
      </c>
      <c r="D83" s="16">
        <f t="shared" si="12"/>
        <v>0.21947916666666667</v>
      </c>
      <c r="E83" s="16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6">
        <f t="shared" si="11"/>
        <v>0.3167476851851852</v>
      </c>
      <c r="D84" s="16">
        <f t="shared" si="12"/>
        <v>0.21346064814814814</v>
      </c>
      <c r="E84" s="16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6">
        <f t="shared" si="11"/>
        <v>0.34024305555555556</v>
      </c>
      <c r="D85" s="16">
        <f t="shared" si="12"/>
        <v>0.21100694444444446</v>
      </c>
      <c r="E85" s="16">
        <f t="shared" si="13"/>
        <v>4.7731481481481486E-2</v>
      </c>
      <c r="F85">
        <f t="shared" si="14"/>
        <v>42</v>
      </c>
      <c r="G85" s="17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6">
        <f t="shared" si="11"/>
        <v>0.33611111111111108</v>
      </c>
      <c r="D86" s="16">
        <f t="shared" si="12"/>
        <v>0.21214120370370371</v>
      </c>
      <c r="E86" s="16">
        <f t="shared" si="13"/>
        <v>4.7500000000000007E-2</v>
      </c>
      <c r="F86">
        <f t="shared" si="14"/>
        <v>43</v>
      </c>
      <c r="G86" s="17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6">
        <f t="shared" si="11"/>
        <v>0.3331365740740741</v>
      </c>
      <c r="D87" s="16">
        <f t="shared" si="12"/>
        <v>0.18670138888888888</v>
      </c>
      <c r="E87" s="16">
        <f t="shared" si="13"/>
        <v>6.7430555555555563E-2</v>
      </c>
      <c r="F87">
        <f t="shared" si="14"/>
        <v>44</v>
      </c>
      <c r="G87" s="17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6">
        <f t="shared" si="11"/>
        <v>0.35135416666666663</v>
      </c>
      <c r="D88" s="16">
        <f t="shared" si="12"/>
        <v>0.20708333333333331</v>
      </c>
      <c r="E88" s="16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6">
        <f t="shared" si="11"/>
        <v>0.34356481481481477</v>
      </c>
      <c r="D89" s="16">
        <f t="shared" si="12"/>
        <v>0.16344907407407408</v>
      </c>
      <c r="E89" s="16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6">
        <f t="shared" si="11"/>
        <v>0.34900462962962964</v>
      </c>
      <c r="D90" s="16">
        <f t="shared" si="12"/>
        <v>3.3715277777777775E-2</v>
      </c>
      <c r="E90" s="16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6">
        <f t="shared" si="11"/>
        <v>0.33378472222222227</v>
      </c>
      <c r="D91" s="16">
        <f t="shared" si="12"/>
        <v>0.21655092592592592</v>
      </c>
      <c r="E91" s="16">
        <f t="shared" si="13"/>
        <v>5.004629629629629E-2</v>
      </c>
      <c r="F91">
        <f t="shared" si="14"/>
        <v>48</v>
      </c>
      <c r="G91" s="17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6">
        <f t="shared" si="11"/>
        <v>0.34559027777777779</v>
      </c>
      <c r="D92" s="16">
        <f t="shared" si="12"/>
        <v>0.2011574074074074</v>
      </c>
      <c r="E92" s="16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6">
        <f t="shared" si="11"/>
        <v>0.21146990740740743</v>
      </c>
      <c r="D93" s="16">
        <f t="shared" si="12"/>
        <v>0.14190972222222223</v>
      </c>
      <c r="E93" s="16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6">
        <f t="shared" si="11"/>
        <v>0.34075231481481483</v>
      </c>
      <c r="D94" s="16">
        <f t="shared" si="12"/>
        <v>0.1976273148148148</v>
      </c>
      <c r="E94" s="16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6">
        <f t="shared" si="11"/>
        <v>0.34390046296296295</v>
      </c>
      <c r="D95" s="16" t="e">
        <f t="shared" si="12"/>
        <v>#VALUE!</v>
      </c>
      <c r="E95" s="16">
        <f t="shared" si="13"/>
        <v>0.34385416666666663</v>
      </c>
      <c r="F95">
        <f t="shared" si="14"/>
        <v>52</v>
      </c>
      <c r="G95" s="17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6">
        <f t="shared" si="11"/>
        <v>0.33532407407407411</v>
      </c>
      <c r="D96" s="16">
        <f t="shared" si="12"/>
        <v>5.0763888888888886E-2</v>
      </c>
      <c r="E96" s="16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6">
        <f t="shared" si="11"/>
        <v>0.34682870370370367</v>
      </c>
      <c r="D97" s="16">
        <f t="shared" si="12"/>
        <v>0.20351851851851852</v>
      </c>
      <c r="E97" s="16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6">
        <f t="shared" ref="C98:C129" si="17">TIMEVALUE(VLOOKUP(A98,EData,2,0))</f>
        <v>0.33483796296296298</v>
      </c>
      <c r="D98" s="16">
        <f t="shared" ref="D98:D129" si="18">TIMEVALUE(VLOOKUP(A98,EData,3,0))</f>
        <v>6.6759259259259254E-2</v>
      </c>
      <c r="E98" s="16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6">
        <f t="shared" si="17"/>
        <v>0.34770833333333334</v>
      </c>
      <c r="D99" s="16">
        <f t="shared" si="18"/>
        <v>0.1784375</v>
      </c>
      <c r="E99" s="16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6">
        <f t="shared" si="17"/>
        <v>0.33384259259259258</v>
      </c>
      <c r="D100" s="16">
        <f t="shared" si="18"/>
        <v>0.19934027777777777</v>
      </c>
      <c r="E100" s="16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6">
        <f t="shared" si="17"/>
        <v>0.3346412037037037</v>
      </c>
      <c r="D101" s="16">
        <f t="shared" si="18"/>
        <v>0.19371527777777778</v>
      </c>
      <c r="E101" s="16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6">
        <f t="shared" si="17"/>
        <v>0.24574074074074073</v>
      </c>
      <c r="D102" s="16">
        <f t="shared" si="18"/>
        <v>0.1202199074074074</v>
      </c>
      <c r="E102" s="16">
        <f t="shared" si="19"/>
        <v>0.11229166666666668</v>
      </c>
      <c r="F102">
        <f t="shared" si="20"/>
        <v>59</v>
      </c>
      <c r="G102" s="17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6">
        <f t="shared" si="17"/>
        <v>0.34446759259259263</v>
      </c>
      <c r="D103" s="16">
        <f t="shared" si="18"/>
        <v>0.18254629629629629</v>
      </c>
      <c r="E103" s="16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6">
        <f t="shared" si="17"/>
        <v>0.34423611111111113</v>
      </c>
      <c r="D104" s="16">
        <f t="shared" si="18"/>
        <v>0.18436342592592592</v>
      </c>
      <c r="E104" s="16">
        <f t="shared" si="19"/>
        <v>6.732638888888888E-2</v>
      </c>
      <c r="F104">
        <f t="shared" si="20"/>
        <v>61</v>
      </c>
      <c r="G104" s="17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6">
        <f t="shared" si="17"/>
        <v>0.34479166666666666</v>
      </c>
      <c r="D105" s="16">
        <f t="shared" si="18"/>
        <v>0.10450231481481481</v>
      </c>
      <c r="E105" s="16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6">
        <f t="shared" si="17"/>
        <v>0.33458333333333329</v>
      </c>
      <c r="D106" s="16">
        <f t="shared" si="18"/>
        <v>0.20292824074074076</v>
      </c>
      <c r="E106" s="16">
        <f t="shared" si="19"/>
        <v>5.092592592592593E-2</v>
      </c>
      <c r="F106">
        <f t="shared" si="20"/>
        <v>63</v>
      </c>
      <c r="G106" s="17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6">
        <f t="shared" si="17"/>
        <v>0.34524305555555551</v>
      </c>
      <c r="D107" s="16" t="e">
        <f t="shared" si="18"/>
        <v>#VALUE!</v>
      </c>
      <c r="E107" s="16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6">
        <f t="shared" si="17"/>
        <v>0.34424768518518517</v>
      </c>
      <c r="D108" s="16">
        <f t="shared" si="18"/>
        <v>0.17256944444444444</v>
      </c>
      <c r="E108" s="16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6">
        <f t="shared" si="17"/>
        <v>0.35488425925925932</v>
      </c>
      <c r="D109" s="16">
        <f t="shared" si="18"/>
        <v>0.23307870370370373</v>
      </c>
      <c r="E109" s="16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6">
        <f t="shared" si="17"/>
        <v>0.33346064814814813</v>
      </c>
      <c r="D110" s="16">
        <f t="shared" si="18"/>
        <v>0.2029050925925926</v>
      </c>
      <c r="E110" s="16">
        <f t="shared" si="19"/>
        <v>4.8194444444444449E-2</v>
      </c>
      <c r="F110">
        <f t="shared" si="20"/>
        <v>67</v>
      </c>
      <c r="G110" s="17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6">
        <f t="shared" si="17"/>
        <v>0.34430555555555559</v>
      </c>
      <c r="D111" s="16">
        <f t="shared" si="18"/>
        <v>0.20876157407407406</v>
      </c>
      <c r="E111" s="16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6">
        <f t="shared" si="17"/>
        <v>0.34439814814814818</v>
      </c>
      <c r="D112" s="16">
        <f t="shared" si="18"/>
        <v>0.19284722222222225</v>
      </c>
      <c r="E112" s="16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6">
        <f t="shared" si="17"/>
        <v>0.34435185185185185</v>
      </c>
      <c r="D113" s="16">
        <f t="shared" si="18"/>
        <v>0.20849537037037036</v>
      </c>
      <c r="E113" s="16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6">
        <f t="shared" si="17"/>
        <v>0.33491898148148147</v>
      </c>
      <c r="D114" s="16">
        <f t="shared" si="18"/>
        <v>0.21258101851851852</v>
      </c>
      <c r="E114" s="16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6">
        <f t="shared" si="17"/>
        <v>0.34442129629629631</v>
      </c>
      <c r="D115" s="16">
        <f t="shared" si="18"/>
        <v>0.22203703703703703</v>
      </c>
      <c r="E115" s="16">
        <f t="shared" si="19"/>
        <v>5.1342592592592586E-2</v>
      </c>
      <c r="F115">
        <f t="shared" si="20"/>
        <v>72</v>
      </c>
      <c r="G115" s="17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6">
        <f t="shared" si="17"/>
        <v>0.33370370370370367</v>
      </c>
      <c r="D116" s="16">
        <f t="shared" si="18"/>
        <v>0.21053240740740742</v>
      </c>
      <c r="E116" s="16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6">
        <f t="shared" si="17"/>
        <v>0.34518518518518521</v>
      </c>
      <c r="D117" s="16">
        <f t="shared" si="18"/>
        <v>0.21524305555555556</v>
      </c>
      <c r="E117" s="16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6">
        <f t="shared" si="17"/>
        <v>0.3354050925925926</v>
      </c>
      <c r="D118" s="16">
        <f t="shared" si="18"/>
        <v>0.19744212962962962</v>
      </c>
      <c r="E118" s="16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6">
        <f t="shared" si="17"/>
        <v>0.33627314814814818</v>
      </c>
      <c r="D119" s="16">
        <f t="shared" si="18"/>
        <v>0.18991898148148148</v>
      </c>
      <c r="E119" s="16">
        <f t="shared" si="19"/>
        <v>6.4317129629629641E-2</v>
      </c>
      <c r="F119">
        <f t="shared" si="20"/>
        <v>76</v>
      </c>
      <c r="G119" s="17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6">
        <f t="shared" si="17"/>
        <v>0.33471064814814816</v>
      </c>
      <c r="D120" s="16">
        <f t="shared" si="18"/>
        <v>0.18868055555555555</v>
      </c>
      <c r="E120" s="16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6">
        <f t="shared" si="17"/>
        <v>0.33974537037037034</v>
      </c>
      <c r="D121" s="16">
        <f t="shared" si="18"/>
        <v>0.20261574074074074</v>
      </c>
      <c r="E121" s="16">
        <f t="shared" si="19"/>
        <v>4.7754629629629626E-2</v>
      </c>
      <c r="F121">
        <f t="shared" si="20"/>
        <v>78</v>
      </c>
      <c r="G121" s="17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6">
        <f t="shared" si="17"/>
        <v>0.34557870370370369</v>
      </c>
      <c r="D122" s="16">
        <f t="shared" si="18"/>
        <v>0.1431597222222222</v>
      </c>
      <c r="E122" s="16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6">
        <f t="shared" si="17"/>
        <v>0.33189814814814816</v>
      </c>
      <c r="D123" s="16">
        <f t="shared" si="18"/>
        <v>0.1439236111111111</v>
      </c>
      <c r="E123" s="16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6">
        <f t="shared" si="17"/>
        <v>0.34369212962962964</v>
      </c>
      <c r="D124" s="16">
        <f t="shared" si="18"/>
        <v>0.22164351851851852</v>
      </c>
      <c r="E124" s="16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6">
        <f t="shared" si="17"/>
        <v>0.3548263888888889</v>
      </c>
      <c r="D125" s="16">
        <f t="shared" si="18"/>
        <v>0.15355324074074075</v>
      </c>
      <c r="E125" s="16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6">
        <f t="shared" si="17"/>
        <v>0.36775462962962963</v>
      </c>
      <c r="D126" s="16">
        <f t="shared" si="18"/>
        <v>0.21557870370370369</v>
      </c>
      <c r="E126" s="16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6">
        <f t="shared" si="17"/>
        <v>0.35119212962962965</v>
      </c>
      <c r="D127" s="16">
        <f t="shared" si="18"/>
        <v>0.15380787037037039</v>
      </c>
      <c r="E127" s="16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6">
        <f t="shared" si="17"/>
        <v>0.34143518518518517</v>
      </c>
      <c r="D128" s="16">
        <f t="shared" si="18"/>
        <v>0.17545138888888889</v>
      </c>
      <c r="E128" s="16">
        <f t="shared" si="19"/>
        <v>9.5694444444444457E-2</v>
      </c>
      <c r="F128">
        <f t="shared" si="20"/>
        <v>85</v>
      </c>
      <c r="G128" s="17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6">
        <f t="shared" si="17"/>
        <v>0.34533564814814816</v>
      </c>
      <c r="D129" s="16">
        <f t="shared" si="18"/>
        <v>0.20476851851851852</v>
      </c>
      <c r="E129" s="16">
        <f t="shared" si="19"/>
        <v>5.5231481481481486E-2</v>
      </c>
      <c r="F129">
        <f t="shared" si="20"/>
        <v>86</v>
      </c>
      <c r="G129" s="17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6">
        <f t="shared" ref="C130:C150" si="22">TIMEVALUE(VLOOKUP(A130,EData,2,0))</f>
        <v>0.34416666666666668</v>
      </c>
      <c r="D130" s="16">
        <f t="shared" ref="D130:D150" si="23">TIMEVALUE(VLOOKUP(A130,EData,3,0))</f>
        <v>0.12054398148148149</v>
      </c>
      <c r="E130" s="16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6">
        <f t="shared" si="22"/>
        <v>0.33975694444444443</v>
      </c>
      <c r="D131" s="16">
        <f t="shared" si="23"/>
        <v>0.21278935185185185</v>
      </c>
      <c r="E131" s="16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6">
        <f t="shared" si="22"/>
        <v>0.33380787037037035</v>
      </c>
      <c r="D132" s="16">
        <f t="shared" si="23"/>
        <v>0.1744212962962963</v>
      </c>
      <c r="E132" s="16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6">
        <f t="shared" si="22"/>
        <v>0.34012731481481479</v>
      </c>
      <c r="D133" s="16">
        <f t="shared" si="23"/>
        <v>0.11028935185185185</v>
      </c>
      <c r="E133" s="16">
        <f t="shared" si="24"/>
        <v>0.19189814814814818</v>
      </c>
      <c r="F133">
        <f t="shared" si="25"/>
        <v>90</v>
      </c>
      <c r="G133" s="17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6">
        <f t="shared" si="22"/>
        <v>0.33354166666666668</v>
      </c>
      <c r="D134" s="16">
        <f t="shared" si="23"/>
        <v>0.19138888888888891</v>
      </c>
      <c r="E134" s="16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6">
        <f t="shared" si="22"/>
        <v>0.3357175925925926</v>
      </c>
      <c r="D135" s="16">
        <f t="shared" si="23"/>
        <v>0.12403935185185185</v>
      </c>
      <c r="E135" s="16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6">
        <f t="shared" si="22"/>
        <v>0.33687500000000004</v>
      </c>
      <c r="D136" s="16">
        <f t="shared" si="23"/>
        <v>0.17017361111111109</v>
      </c>
      <c r="E136" s="16">
        <f t="shared" si="24"/>
        <v>9.5034722222222215E-2</v>
      </c>
      <c r="F136">
        <f t="shared" si="25"/>
        <v>93</v>
      </c>
      <c r="G136" s="17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6">
        <f t="shared" si="22"/>
        <v>0.33709490740740744</v>
      </c>
      <c r="D137" s="16">
        <f t="shared" si="23"/>
        <v>0.18885416666666666</v>
      </c>
      <c r="E137" s="16">
        <f t="shared" si="24"/>
        <v>8.7997685185185193E-2</v>
      </c>
      <c r="F137">
        <f t="shared" si="25"/>
        <v>94</v>
      </c>
      <c r="G137" s="17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6">
        <f t="shared" si="22"/>
        <v>0.34307870370370369</v>
      </c>
      <c r="D138" s="16">
        <f t="shared" si="23"/>
        <v>0.22166666666666668</v>
      </c>
      <c r="E138" s="16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6">
        <f t="shared" si="22"/>
        <v>0.31192129629629628</v>
      </c>
      <c r="D139" s="16">
        <f t="shared" si="23"/>
        <v>0.12112268518518519</v>
      </c>
      <c r="E139" s="16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6">
        <f t="shared" si="22"/>
        <v>0.35686342592592596</v>
      </c>
      <c r="D140" s="16">
        <f t="shared" si="23"/>
        <v>0.19224537037037037</v>
      </c>
      <c r="E140" s="16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6">
        <f t="shared" si="22"/>
        <v>0.34392361111111108</v>
      </c>
      <c r="D141" s="16">
        <f t="shared" si="23"/>
        <v>0.20146990740740742</v>
      </c>
      <c r="E141" s="16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6">
        <f t="shared" si="22"/>
        <v>0.34658564814814818</v>
      </c>
      <c r="D142" s="16">
        <f t="shared" si="23"/>
        <v>0.12475694444444445</v>
      </c>
      <c r="E142" s="16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6">
        <f t="shared" si="22"/>
        <v>0.34281249999999996</v>
      </c>
      <c r="D143" s="16">
        <f t="shared" si="23"/>
        <v>0.22505787037037037</v>
      </c>
      <c r="E143" s="16">
        <f t="shared" si="24"/>
        <v>5.1898148148148145E-2</v>
      </c>
      <c r="F143">
        <f t="shared" si="25"/>
        <v>100</v>
      </c>
      <c r="G143" s="17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6">
        <f t="shared" si="22"/>
        <v>0.35055555555555556</v>
      </c>
      <c r="D144" s="16">
        <f t="shared" si="23"/>
        <v>0.11953703703703704</v>
      </c>
      <c r="E144" s="16">
        <f t="shared" si="24"/>
        <v>0.21081018518518521</v>
      </c>
      <c r="F144">
        <f t="shared" si="25"/>
        <v>101</v>
      </c>
      <c r="G144" s="17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6">
        <f t="shared" si="22"/>
        <v>0.34575231481481478</v>
      </c>
      <c r="D145" s="16">
        <f t="shared" si="23"/>
        <v>0.20268518518518519</v>
      </c>
      <c r="E145" s="16">
        <f t="shared" si="24"/>
        <v>5.004629629629629E-2</v>
      </c>
      <c r="F145">
        <f t="shared" si="25"/>
        <v>102</v>
      </c>
      <c r="G145" s="17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6">
        <f t="shared" si="22"/>
        <v>0.35479166666666667</v>
      </c>
      <c r="D146" s="16">
        <f t="shared" si="23"/>
        <v>0.21916666666666665</v>
      </c>
      <c r="E146" s="16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6">
        <f t="shared" si="22"/>
        <v>0.36542824074074076</v>
      </c>
      <c r="D147" s="16">
        <f t="shared" si="23"/>
        <v>0.15059027777777778</v>
      </c>
      <c r="E147" s="16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6">
        <f t="shared" si="22"/>
        <v>0.34370370370370368</v>
      </c>
      <c r="D148" s="16">
        <f t="shared" si="23"/>
        <v>0.21891203703703702</v>
      </c>
      <c r="E148" s="16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6">
        <f t="shared" si="22"/>
        <v>0.20827546296296295</v>
      </c>
      <c r="D149" s="16">
        <f t="shared" si="23"/>
        <v>0.1310300925925926</v>
      </c>
      <c r="E149" s="16">
        <f t="shared" si="24"/>
        <v>1.045138888888889E-2</v>
      </c>
      <c r="F149">
        <f t="shared" si="25"/>
        <v>106</v>
      </c>
      <c r="G149" s="17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6">
        <f t="shared" si="22"/>
        <v>0.35688657407407409</v>
      </c>
      <c r="D150" s="16">
        <f t="shared" si="23"/>
        <v>0.19362268518518519</v>
      </c>
      <c r="E150" s="16">
        <f t="shared" si="24"/>
        <v>9.5034722222222215E-2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065-CC27-4656-93D7-74A2075DB23F}">
  <sheetPr codeName="Sheet6"/>
  <dimension ref="B1:G23"/>
  <sheetViews>
    <sheetView tabSelected="1" zoomScale="184" zoomScaleNormal="184" workbookViewId="0">
      <selection activeCell="G6" sqref="G6"/>
    </sheetView>
  </sheetViews>
  <sheetFormatPr defaultRowHeight="14.4" x14ac:dyDescent="0.3"/>
  <cols>
    <col min="2" max="2" width="22" customWidth="1"/>
    <col min="3" max="3" width="31.77734375" bestFit="1" customWidth="1"/>
    <col min="4" max="4" width="10.21875" customWidth="1"/>
    <col min="5" max="5" width="8.88671875" hidden="1" customWidth="1"/>
    <col min="6" max="6" width="13.33203125" bestFit="1" customWidth="1"/>
    <col min="7" max="7" width="31.33203125" bestFit="1" customWidth="1"/>
  </cols>
  <sheetData>
    <row r="1" spans="2:7" x14ac:dyDescent="0.3">
      <c r="B1" s="23"/>
      <c r="C1" s="26"/>
      <c r="D1" s="27"/>
      <c r="E1">
        <v>5</v>
      </c>
      <c r="F1" s="23"/>
      <c r="G1" s="26"/>
    </row>
    <row r="2" spans="2:7" x14ac:dyDescent="0.3">
      <c r="B2" s="23"/>
      <c r="C2" s="26"/>
      <c r="D2" s="27"/>
      <c r="E2">
        <v>5</v>
      </c>
      <c r="F2" s="23"/>
      <c r="G2" s="26"/>
    </row>
    <row r="3" spans="2:7" x14ac:dyDescent="0.3">
      <c r="D3" s="28"/>
    </row>
    <row r="4" spans="2:7" ht="14.4" hidden="1" customHeight="1" x14ac:dyDescent="0.3">
      <c r="D4" s="28"/>
    </row>
    <row r="5" spans="2:7" ht="15.6" x14ac:dyDescent="0.3">
      <c r="B5" s="25" t="s">
        <v>1011</v>
      </c>
      <c r="C5" s="24"/>
      <c r="D5" s="27"/>
    </row>
    <row r="6" spans="2:7" x14ac:dyDescent="0.3">
      <c r="B6" s="18" t="s">
        <v>1003</v>
      </c>
      <c r="C6" s="21" t="s">
        <v>1010</v>
      </c>
      <c r="D6" s="29"/>
      <c r="F6" s="18" t="s">
        <v>1003</v>
      </c>
      <c r="G6" s="21" t="s">
        <v>1009</v>
      </c>
    </row>
    <row r="7" spans="2:7" x14ac:dyDescent="0.3">
      <c r="B7" s="19" t="s">
        <v>1004</v>
      </c>
      <c r="C7" s="22">
        <v>1.3668402777777779</v>
      </c>
      <c r="D7" s="30"/>
      <c r="F7" s="19" t="s">
        <v>1004</v>
      </c>
      <c r="G7" s="20">
        <v>2.0905948641136138</v>
      </c>
    </row>
    <row r="8" spans="2:7" x14ac:dyDescent="0.3">
      <c r="B8" s="19" t="s">
        <v>1005</v>
      </c>
      <c r="C8" s="22">
        <v>0.66396990740740747</v>
      </c>
      <c r="D8" s="30"/>
      <c r="F8" s="19" t="s">
        <v>1005</v>
      </c>
      <c r="G8" s="20">
        <v>1.064298009533315</v>
      </c>
    </row>
    <row r="9" spans="2:7" x14ac:dyDescent="0.3">
      <c r="B9" s="19" t="s">
        <v>1006</v>
      </c>
      <c r="C9" s="22">
        <v>0.67937500000000006</v>
      </c>
      <c r="D9" s="30"/>
      <c r="F9" s="19" t="s">
        <v>1006</v>
      </c>
      <c r="G9" s="20">
        <v>1.122824596941316</v>
      </c>
    </row>
    <row r="10" spans="2:7" x14ac:dyDescent="0.3">
      <c r="B10" s="19" t="s">
        <v>1007</v>
      </c>
      <c r="C10" s="22">
        <v>1.0142939814814815</v>
      </c>
      <c r="D10" s="30"/>
      <c r="F10" s="19" t="s">
        <v>1007</v>
      </c>
      <c r="G10" s="20">
        <v>1.7236731368386569</v>
      </c>
    </row>
    <row r="11" spans="2:7" x14ac:dyDescent="0.3">
      <c r="B11" s="19" t="s">
        <v>1008</v>
      </c>
      <c r="C11" s="22">
        <v>0.67259259259259263</v>
      </c>
      <c r="D11" s="30"/>
      <c r="F11" s="19" t="s">
        <v>1008</v>
      </c>
      <c r="G11" s="20">
        <v>0.80510133036211395</v>
      </c>
    </row>
    <row r="12" spans="2:7" x14ac:dyDescent="0.3">
      <c r="D12" s="28"/>
    </row>
    <row r="13" spans="2:7" x14ac:dyDescent="0.3">
      <c r="D13" s="28"/>
    </row>
    <row r="14" spans="2:7" x14ac:dyDescent="0.3">
      <c r="D14" s="28"/>
    </row>
    <row r="15" spans="2:7" x14ac:dyDescent="0.3">
      <c r="D15" s="28"/>
    </row>
    <row r="16" spans="2:7" x14ac:dyDescent="0.3">
      <c r="D16" s="28"/>
    </row>
    <row r="17" spans="4:4" x14ac:dyDescent="0.3">
      <c r="D17" s="28"/>
    </row>
    <row r="18" spans="4:4" x14ac:dyDescent="0.3">
      <c r="D18" s="28"/>
    </row>
    <row r="19" spans="4:4" x14ac:dyDescent="0.3">
      <c r="D19" s="28"/>
    </row>
    <row r="20" spans="4:4" x14ac:dyDescent="0.3">
      <c r="D20" s="28"/>
    </row>
    <row r="21" spans="4:4" x14ac:dyDescent="0.3">
      <c r="D21" s="28"/>
    </row>
    <row r="22" spans="4:4" x14ac:dyDescent="0.3">
      <c r="D22" s="28"/>
    </row>
    <row r="23" spans="4:4" x14ac:dyDescent="0.3">
      <c r="D23" s="28"/>
    </row>
  </sheetData>
  <mergeCells count="3">
    <mergeCell ref="B5:C5"/>
    <mergeCell ref="C1:C2"/>
    <mergeCell ref="G1:G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6" name="Spinner 1">
              <controlPr defaultSize="0" autoPict="0" macro="[0]!Spinner1Code">
                <anchor moveWithCells="1" sizeWithCells="1">
                  <from>
                    <xdr:col>2</xdr:col>
                    <xdr:colOff>967740</xdr:colOff>
                    <xdr:row>0</xdr:row>
                    <xdr:rowOff>22860</xdr:rowOff>
                  </from>
                  <to>
                    <xdr:col>2</xdr:col>
                    <xdr:colOff>1234440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Spinner 11">
              <controlPr defaultSize="0" autoPict="0" macro="[0]!Macro3">
                <anchor moveWithCells="1" sizeWithCells="1">
                  <from>
                    <xdr:col>6</xdr:col>
                    <xdr:colOff>967740</xdr:colOff>
                    <xdr:row>0</xdr:row>
                    <xdr:rowOff>22860</xdr:rowOff>
                  </from>
                  <to>
                    <xdr:col>6</xdr:col>
                    <xdr:colOff>1234440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VISHAL</cp:lastModifiedBy>
  <dcterms:created xsi:type="dcterms:W3CDTF">2022-05-04T01:32:35Z</dcterms:created>
  <dcterms:modified xsi:type="dcterms:W3CDTF">2026-07-07T18:47:07Z</dcterms:modified>
</cp:coreProperties>
</file>